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8808"/>
  </bookViews>
  <sheets>
    <sheet name="1." sheetId="1" r:id="rId1"/>
  </sheets>
  <calcPr calcId="152511"/>
</workbook>
</file>

<file path=xl/calcChain.xml><?xml version="1.0" encoding="utf-8"?>
<calcChain xmlns="http://schemas.openxmlformats.org/spreadsheetml/2006/main">
  <c r="R44" i="1" l="1"/>
  <c r="N41" i="1"/>
  <c r="M56" i="1"/>
  <c r="L56" i="1"/>
  <c r="N55" i="1"/>
  <c r="N54" i="1"/>
  <c r="N53" i="1"/>
  <c r="N52" i="1"/>
  <c r="N51" i="1"/>
  <c r="N50" i="1"/>
  <c r="N49" i="1"/>
  <c r="N48" i="1"/>
  <c r="N56" i="1" s="1"/>
  <c r="T38" i="1" l="1"/>
  <c r="S38" i="1"/>
  <c r="R38" i="1"/>
  <c r="Q38" i="1"/>
  <c r="P38" i="1"/>
  <c r="O38" i="1"/>
  <c r="N38" i="1"/>
  <c r="M38" i="1"/>
  <c r="L38" i="1"/>
  <c r="I38" i="1"/>
  <c r="J38" i="1"/>
  <c r="K38" i="1"/>
  <c r="H38" i="1"/>
  <c r="G38" i="1"/>
  <c r="F38" i="1"/>
  <c r="E38" i="1"/>
</calcChain>
</file>

<file path=xl/comments1.xml><?xml version="1.0" encoding="utf-8"?>
<comments xmlns="http://schemas.openxmlformats.org/spreadsheetml/2006/main">
  <authors>
    <author>Author</author>
  </authors>
  <commentList>
    <comment ref="Q43" authorId="0" shapeId="0">
      <text>
        <r>
          <rPr>
            <sz val="9"/>
            <color indexed="81"/>
            <rFont val="Tahoma"/>
            <family val="2"/>
          </rPr>
          <t>差一个30/9的mydebit RM144.4
1/10会进到我们acc，bank charge算在10月份</t>
        </r>
      </text>
    </comment>
  </commentList>
</comments>
</file>

<file path=xl/sharedStrings.xml><?xml version="1.0" encoding="utf-8"?>
<sst xmlns="http://schemas.openxmlformats.org/spreadsheetml/2006/main" count="102" uniqueCount="71">
  <si>
    <t>Daily Sales</t>
  </si>
  <si>
    <t>Date: 01/09/2025 - 30/09/2025</t>
  </si>
  <si>
    <t>Time: 00:00 - 23:59</t>
  </si>
  <si>
    <t>Merchant: FEI FEI CRAB HOUSE SDN BHD (SUTERA)</t>
  </si>
  <si>
    <t>Generated by: 01 Oct 2025, 12:27 PM (UTC+08:00)</t>
  </si>
  <si>
    <t>Time</t>
  </si>
  <si>
    <t>Name</t>
  </si>
  <si>
    <t>Qty</t>
  </si>
  <si>
    <t>Pax</t>
  </si>
  <si>
    <t>Gross</t>
  </si>
  <si>
    <t>Discount</t>
  </si>
  <si>
    <t>SST</t>
  </si>
  <si>
    <t>SC</t>
  </si>
  <si>
    <t>Other Charge</t>
  </si>
  <si>
    <t>Delivery fee</t>
  </si>
  <si>
    <t>Rounding</t>
  </si>
  <si>
    <t>Nett</t>
  </si>
  <si>
    <t>CASH</t>
  </si>
  <si>
    <t>Grab Dine Out Deals</t>
  </si>
  <si>
    <t>MASTER</t>
  </si>
  <si>
    <t>MY DEBIT</t>
  </si>
  <si>
    <t>ONLINE BANKING</t>
  </si>
  <si>
    <t>TOUCH N GO</t>
  </si>
  <si>
    <t>VISA</t>
  </si>
  <si>
    <t/>
  </si>
  <si>
    <t>01/09/2025</t>
  </si>
  <si>
    <t>FEI FEI CRAB HOUSE SDN BHD (SUTERA)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</si>
  <si>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</si>
  <si>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</si>
  <si>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</si>
  <si>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</si>
  <si>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</si>
  <si>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</si>
  <si>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</si>
  <si>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</si>
  <si>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</si>
  <si>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</si>
  <si>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</si>
  <si>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</si>
  <si>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</si>
  <si>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</si>
  <si>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</si>
  <si>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</si>
  <si>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</si>
  <si>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</si>
  <si>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</si>
  <si>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</si>
  <si>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</si>
  <si>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</si>
  <si>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</si>
  <si>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</si>
  <si>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</si>
  <si>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</si>
  <si>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</si>
  <si>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</si>
  <si>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</si>
  <si>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deduct MFD 
(Merchant Funded Discount)</t>
  </si>
  <si>
    <t>deduct GF Commission
(including tax)</t>
  </si>
  <si>
    <t>net GF Dine Out Deals
payment received</t>
  </si>
  <si>
    <t>from statement</t>
  </si>
  <si>
    <t>visa</t>
  </si>
  <si>
    <t>master</t>
  </si>
  <si>
    <t>mydebit</t>
  </si>
  <si>
    <t>unionpay</t>
  </si>
  <si>
    <t>Amex</t>
  </si>
  <si>
    <t>Total</t>
  </si>
  <si>
    <t>AMEX</t>
  </si>
  <si>
    <t>pay date</t>
  </si>
  <si>
    <t>Customer pay
amount</t>
  </si>
  <si>
    <t>bank actual 
received</t>
  </si>
  <si>
    <t>Amex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</si>
</sst>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i/>
      <sz val="9"/>
      <color rgb="FFFF0000"/>
      <name val="Tahoma"/>
      <family val="2"/>
    </font>
    <font>
      <b/>
      <sz val="14"/>
      <color theme="1"/>
      <name val="Tahoma"/>
      <family val="2"/>
    </font>
    <font>
      <sz val="9"/>
      <color theme="1"/>
      <name val="Segoe UI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2" fontId="1" fillId="0" borderId="0" xfId="0" applyNumberFormat="1" applyFont="1"/>
    <xf numFmtId="2" fontId="3" fillId="3" borderId="0" xfId="0" applyNumberFormat="1" applyFont="1" applyFill="1"/>
    <xf numFmtId="2" fontId="0" fillId="4" borderId="0" xfId="0" applyNumberFormat="1" applyFill="1"/>
    <xf numFmtId="2" fontId="3" fillId="4" borderId="0" xfId="0" applyNumberFormat="1" applyFont="1" applyFill="1"/>
    <xf numFmtId="0" fontId="4" fillId="0" borderId="1" xfId="0" applyNumberFormat="1" applyFont="1" applyBorder="1" applyAlignment="1">
      <alignment wrapText="1"/>
    </xf>
    <xf numFmtId="0" fontId="4" fillId="0" borderId="1" xfId="0" applyNumberFormat="1" applyFont="1" applyBorder="1"/>
    <xf numFmtId="0" fontId="5" fillId="5" borderId="1" xfId="0" applyNumberFormat="1" applyFont="1" applyFill="1" applyBorder="1" applyAlignment="1">
      <alignment wrapText="1"/>
    </xf>
    <xf numFmtId="2" fontId="5" fillId="5" borderId="1" xfId="0" applyNumberFormat="1" applyFont="1" applyFill="1" applyBorder="1"/>
    <xf numFmtId="2" fontId="5" fillId="0" borderId="1" xfId="0" applyNumberFormat="1" applyFont="1" applyFill="1" applyBorder="1"/>
    <xf numFmtId="164" fontId="4" fillId="6" borderId="1" xfId="0" applyNumberFormat="1" applyFont="1" applyFill="1" applyBorder="1"/>
    <xf numFmtId="2" fontId="6" fillId="0" borderId="0" xfId="0" applyNumberFormat="1" applyFont="1" applyFill="1"/>
    <xf numFmtId="2" fontId="4" fillId="6" borderId="0" xfId="0" applyNumberFormat="1" applyFont="1" applyFill="1"/>
    <xf numFmtId="0" fontId="4" fillId="0" borderId="0" xfId="0" applyNumberFormat="1" applyFont="1" applyBorder="1"/>
    <xf numFmtId="0" fontId="4" fillId="0" borderId="0" xfId="0" applyNumberFormat="1" applyFont="1"/>
    <xf numFmtId="0" fontId="7" fillId="0" borderId="2" xfId="0" applyNumberFormat="1" applyFont="1" applyBorder="1" applyAlignment="1">
      <alignment horizontal="center"/>
    </xf>
    <xf numFmtId="0" fontId="8" fillId="0" borderId="0" xfId="0" applyNumberFormat="1" applyFont="1"/>
    <xf numFmtId="2" fontId="4" fillId="0" borderId="1" xfId="0" applyNumberFormat="1" applyFont="1" applyBorder="1" applyAlignment="1">
      <alignment wrapText="1"/>
    </xf>
    <xf numFmtId="49" fontId="4" fillId="0" borderId="1" xfId="0" applyNumberFormat="1" applyFont="1" applyFill="1" applyBorder="1"/>
    <xf numFmtId="0" fontId="4" fillId="0" borderId="1" xfId="0" applyNumberFormat="1" applyFont="1" applyFill="1" applyBorder="1"/>
    <xf numFmtId="2" fontId="4" fillId="0" borderId="1" xfId="0" applyNumberFormat="1" applyFont="1" applyBorder="1"/>
    <xf numFmtId="2" fontId="4" fillId="0" borderId="1" xfId="0" applyNumberFormat="1" applyFont="1" applyFill="1" applyBorder="1"/>
    <xf numFmtId="0" fontId="4" fillId="5" borderId="0" xfId="0" applyNumberFormat="1" applyFont="1" applyFill="1"/>
    <xf numFmtId="2" fontId="4" fillId="5" borderId="0" xfId="0" applyNumberFormat="1" applyFont="1" applyFill="1"/>
    <xf numFmtId="2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6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0" sqref="A20:XFD21"/>
    </sheetView>
  </sheetViews>
  <sheetFormatPr defaultRowHeight="14.4" x14ac:dyDescent="0.3"/>
  <cols>
    <col min="1" max="4" width="9" style="1" customWidth="1"/>
    <col min="5" max="5" width="9.5546875" style="1" bestFit="1" customWidth="1"/>
    <col min="6" max="11" width="9" style="1" customWidth="1"/>
    <col min="12" max="12" width="9.5546875" style="1" bestFit="1" customWidth="1"/>
    <col min="13" max="13" width="9" style="1" customWidth="1"/>
    <col min="14" max="14" width="17.88671875" style="1" bestFit="1" customWidth="1"/>
    <col min="15" max="16" width="9" style="1" customWidth="1"/>
    <col min="17" max="17" width="15.88671875" style="1" bestFit="1" customWidth="1"/>
    <col min="18" max="18" width="11.77734375" style="1" bestFit="1" customWidth="1"/>
    <col min="19" max="19" width="9" style="1" customWidth="1"/>
    <col min="20" max="20" width="9.5546875" bestFit="1" customWidth="1"/>
  </cols>
  <sheetData>
    <row r="1" spans="1:19" x14ac:dyDescent="0.3">
      <c r="A1" t="s">
        <v>0</v>
      </c>
    </row>
    <row r="2" spans="1:19" x14ac:dyDescent="0.3">
      <c r="A2" t="s">
        <v>1</v>
      </c>
    </row>
    <row r="3" spans="1:19" x14ac:dyDescent="0.3">
      <c r="A3" t="s">
        <v>2</v>
      </c>
    </row>
    <row r="4" spans="1:19" x14ac:dyDescent="0.3">
      <c r="A4" t="s">
        <v>3</v>
      </c>
    </row>
    <row r="5" spans="1:19" x14ac:dyDescent="0.3">
      <c r="A5" t="s">
        <v>4</v>
      </c>
    </row>
    <row r="7" spans="1:19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3">
      <c r="A8" s="1" t="s">
        <v>25</v>
      </c>
      <c r="B8" s="1" t="s">
        <v>26</v>
      </c>
      <c r="C8" s="1">
        <v>15</v>
      </c>
      <c r="D8" s="1">
        <v>44</v>
      </c>
      <c r="E8" s="4">
        <v>2373.3000000000002</v>
      </c>
      <c r="F8" s="4">
        <v>-11.92</v>
      </c>
      <c r="G8" s="4">
        <v>141.69</v>
      </c>
      <c r="H8" s="4">
        <v>207.34</v>
      </c>
      <c r="I8" s="4">
        <v>0</v>
      </c>
      <c r="J8" s="4">
        <v>0</v>
      </c>
      <c r="K8" s="4">
        <v>-0.01</v>
      </c>
      <c r="L8" s="4">
        <v>2710.4</v>
      </c>
      <c r="M8" s="4">
        <v>269.10000000000002</v>
      </c>
      <c r="N8" s="4">
        <v>0</v>
      </c>
      <c r="O8" s="4">
        <v>237.1</v>
      </c>
      <c r="P8" s="4">
        <v>611.6</v>
      </c>
      <c r="Q8" s="4">
        <v>305.3</v>
      </c>
      <c r="R8" s="4">
        <v>768.6</v>
      </c>
      <c r="S8" s="4">
        <v>518.70000000000005</v>
      </c>
    </row>
    <row r="9" spans="1:19" x14ac:dyDescent="0.3">
      <c r="A9" s="1" t="s">
        <v>27</v>
      </c>
      <c r="B9" s="1" t="s">
        <v>26</v>
      </c>
      <c r="C9" s="1">
        <v>10</v>
      </c>
      <c r="D9" s="1">
        <v>27</v>
      </c>
      <c r="E9" s="4">
        <v>1751.4</v>
      </c>
      <c r="F9" s="4">
        <v>-108.12</v>
      </c>
      <c r="G9" s="4">
        <v>98.6</v>
      </c>
      <c r="H9" s="4">
        <v>136.78</v>
      </c>
      <c r="I9" s="4">
        <v>0</v>
      </c>
      <c r="J9" s="4">
        <v>0</v>
      </c>
      <c r="K9" s="4">
        <v>0.14000000000000001</v>
      </c>
      <c r="L9" s="4">
        <v>1878.8</v>
      </c>
      <c r="M9" s="4">
        <v>0</v>
      </c>
      <c r="N9" s="4">
        <v>0</v>
      </c>
      <c r="O9" s="4">
        <v>900.1</v>
      </c>
      <c r="P9" s="4">
        <v>177.5</v>
      </c>
      <c r="Q9" s="4">
        <v>0</v>
      </c>
      <c r="R9" s="4">
        <v>291.89999999999998</v>
      </c>
      <c r="S9" s="4">
        <v>509.3</v>
      </c>
    </row>
    <row r="10" spans="1:19" x14ac:dyDescent="0.3">
      <c r="A10" s="1" t="s">
        <v>28</v>
      </c>
      <c r="B10" s="1" t="s">
        <v>26</v>
      </c>
      <c r="C10" s="1">
        <v>15</v>
      </c>
      <c r="D10" s="1">
        <v>52</v>
      </c>
      <c r="E10" s="4">
        <v>3943.2</v>
      </c>
      <c r="F10" s="4">
        <v>-191</v>
      </c>
      <c r="G10" s="4">
        <v>225.14</v>
      </c>
      <c r="H10" s="4">
        <v>374.94</v>
      </c>
      <c r="I10" s="4">
        <v>0</v>
      </c>
      <c r="J10" s="4">
        <v>0</v>
      </c>
      <c r="K10" s="4">
        <v>-0.08</v>
      </c>
      <c r="L10" s="4">
        <v>4352.2</v>
      </c>
      <c r="M10" s="4">
        <v>890.1</v>
      </c>
      <c r="N10" s="4">
        <v>0</v>
      </c>
      <c r="O10" s="4">
        <v>60</v>
      </c>
      <c r="P10" s="4">
        <v>102.8</v>
      </c>
      <c r="Q10" s="4">
        <v>0</v>
      </c>
      <c r="R10" s="4">
        <v>911</v>
      </c>
      <c r="S10" s="4">
        <v>2388.3000000000002</v>
      </c>
    </row>
    <row r="11" spans="1:19" x14ac:dyDescent="0.3">
      <c r="A11" s="1" t="s">
        <v>29</v>
      </c>
      <c r="B11" s="1" t="s">
        <v>26</v>
      </c>
      <c r="C11" s="1">
        <v>12</v>
      </c>
      <c r="D11" s="1">
        <v>25</v>
      </c>
      <c r="E11" s="4">
        <v>2261.5</v>
      </c>
      <c r="F11" s="4">
        <v>-5.92</v>
      </c>
      <c r="G11" s="4">
        <v>135.33000000000001</v>
      </c>
      <c r="H11" s="4">
        <v>182.8</v>
      </c>
      <c r="I11" s="4">
        <v>0</v>
      </c>
      <c r="J11" s="4">
        <v>0</v>
      </c>
      <c r="K11" s="4">
        <v>0.09</v>
      </c>
      <c r="L11" s="4">
        <v>2573.8000000000002</v>
      </c>
      <c r="M11" s="4">
        <v>124.2</v>
      </c>
      <c r="N11" s="4">
        <v>0</v>
      </c>
      <c r="O11" s="4">
        <v>688.6</v>
      </c>
      <c r="P11" s="4">
        <v>614.70000000000005</v>
      </c>
      <c r="Q11" s="4">
        <v>0</v>
      </c>
      <c r="R11" s="4">
        <v>439.3</v>
      </c>
      <c r="S11" s="4">
        <v>707</v>
      </c>
    </row>
    <row r="12" spans="1:19" x14ac:dyDescent="0.3">
      <c r="A12" s="1" t="s">
        <v>30</v>
      </c>
      <c r="B12" s="1" t="s">
        <v>26</v>
      </c>
      <c r="C12" s="1">
        <v>17</v>
      </c>
      <c r="D12" s="1">
        <v>52</v>
      </c>
      <c r="E12" s="4">
        <v>3964.3</v>
      </c>
      <c r="F12" s="4">
        <v>-234.4</v>
      </c>
      <c r="G12" s="4">
        <v>223.77</v>
      </c>
      <c r="H12" s="4">
        <v>295.79000000000002</v>
      </c>
      <c r="I12" s="4">
        <v>0</v>
      </c>
      <c r="J12" s="4">
        <v>0</v>
      </c>
      <c r="K12" s="4">
        <v>-0.16</v>
      </c>
      <c r="L12" s="4">
        <v>4249.3</v>
      </c>
      <c r="M12" s="4">
        <v>1365.7</v>
      </c>
      <c r="N12" s="4">
        <v>0</v>
      </c>
      <c r="O12" s="4">
        <v>445.9</v>
      </c>
      <c r="P12" s="4">
        <v>378.7</v>
      </c>
      <c r="Q12" s="4">
        <v>0</v>
      </c>
      <c r="R12" s="4">
        <v>706</v>
      </c>
      <c r="S12" s="4">
        <v>1353</v>
      </c>
    </row>
    <row r="13" spans="1:19" x14ac:dyDescent="0.3">
      <c r="A13" s="1" t="s">
        <v>31</v>
      </c>
      <c r="B13" s="1" t="s">
        <v>26</v>
      </c>
      <c r="C13" s="1">
        <v>37</v>
      </c>
      <c r="D13" s="1">
        <v>155</v>
      </c>
      <c r="E13" s="4">
        <v>9830.2199999999993</v>
      </c>
      <c r="F13" s="4">
        <v>-261.8</v>
      </c>
      <c r="G13" s="4">
        <v>574.13</v>
      </c>
      <c r="H13" s="4">
        <v>875.58</v>
      </c>
      <c r="I13" s="4">
        <v>0</v>
      </c>
      <c r="J13" s="4">
        <v>0</v>
      </c>
      <c r="K13" s="4">
        <v>0.27</v>
      </c>
      <c r="L13" s="4">
        <v>11018.4</v>
      </c>
      <c r="M13" s="4">
        <v>3575.6</v>
      </c>
      <c r="N13" s="4">
        <v>499.3</v>
      </c>
      <c r="O13" s="4">
        <v>231.4</v>
      </c>
      <c r="P13" s="4">
        <v>487</v>
      </c>
      <c r="Q13" s="4">
        <v>693.2</v>
      </c>
      <c r="R13" s="4">
        <v>1490.4</v>
      </c>
      <c r="S13" s="4">
        <v>4041.5</v>
      </c>
    </row>
    <row r="14" spans="1:19" x14ac:dyDescent="0.3">
      <c r="A14" s="1" t="s">
        <v>32</v>
      </c>
      <c r="B14" s="1" t="s">
        <v>26</v>
      </c>
      <c r="C14" s="1">
        <v>28</v>
      </c>
      <c r="D14" s="1">
        <v>113</v>
      </c>
      <c r="E14" s="4">
        <v>7209.3</v>
      </c>
      <c r="F14" s="4">
        <v>-677.44</v>
      </c>
      <c r="G14" s="4">
        <v>392.78</v>
      </c>
      <c r="H14" s="4">
        <v>630.19000000000005</v>
      </c>
      <c r="I14" s="4">
        <v>0</v>
      </c>
      <c r="J14" s="4">
        <v>0</v>
      </c>
      <c r="K14" s="4">
        <v>0.37</v>
      </c>
      <c r="L14" s="4">
        <v>7555.2</v>
      </c>
      <c r="M14" s="4">
        <v>454.2</v>
      </c>
      <c r="N14" s="4">
        <v>387.4</v>
      </c>
      <c r="O14" s="4">
        <v>2914</v>
      </c>
      <c r="P14" s="4">
        <v>524.6</v>
      </c>
      <c r="Q14" s="4">
        <v>0</v>
      </c>
      <c r="R14" s="4">
        <v>1688.8</v>
      </c>
      <c r="S14" s="4">
        <v>1586.2</v>
      </c>
    </row>
    <row r="15" spans="1:19" x14ac:dyDescent="0.3">
      <c r="A15" s="1" t="s">
        <v>33</v>
      </c>
      <c r="B15" s="1" t="s">
        <v>26</v>
      </c>
      <c r="C15" s="1">
        <v>21</v>
      </c>
      <c r="D15" s="1">
        <v>65</v>
      </c>
      <c r="E15" s="4">
        <v>4333.8999999999996</v>
      </c>
      <c r="F15" s="4">
        <v>-128.4</v>
      </c>
      <c r="G15" s="4">
        <v>253.21</v>
      </c>
      <c r="H15" s="4">
        <v>379.95</v>
      </c>
      <c r="I15" s="4">
        <v>0</v>
      </c>
      <c r="J15" s="4">
        <v>0</v>
      </c>
      <c r="K15" s="4">
        <v>0.04</v>
      </c>
      <c r="L15" s="4">
        <v>4838.7</v>
      </c>
      <c r="M15" s="4">
        <v>993.4</v>
      </c>
      <c r="N15" s="4">
        <v>131.30000000000001</v>
      </c>
      <c r="O15" s="4">
        <v>348.7</v>
      </c>
      <c r="P15" s="4">
        <v>809.8</v>
      </c>
      <c r="Q15" s="4">
        <v>0</v>
      </c>
      <c r="R15" s="4">
        <v>2211.6999999999998</v>
      </c>
      <c r="S15" s="4">
        <v>343.8</v>
      </c>
    </row>
    <row r="16" spans="1:19" x14ac:dyDescent="0.3">
      <c r="A16" s="1" t="s">
        <v>34</v>
      </c>
      <c r="B16" s="1" t="s">
        <v>26</v>
      </c>
      <c r="C16" s="1">
        <v>16</v>
      </c>
      <c r="D16" s="1">
        <v>46</v>
      </c>
      <c r="E16" s="4">
        <v>3520.1</v>
      </c>
      <c r="F16" s="4">
        <v>-213.78</v>
      </c>
      <c r="G16" s="4">
        <v>198.36</v>
      </c>
      <c r="H16" s="4">
        <v>293.05</v>
      </c>
      <c r="I16" s="4">
        <v>0</v>
      </c>
      <c r="J16" s="4">
        <v>0</v>
      </c>
      <c r="K16" s="4">
        <v>0.27</v>
      </c>
      <c r="L16" s="4">
        <v>3798</v>
      </c>
      <c r="M16" s="4">
        <v>560.70000000000005</v>
      </c>
      <c r="N16" s="4">
        <v>0</v>
      </c>
      <c r="O16" s="4">
        <v>1092.2</v>
      </c>
      <c r="P16" s="4">
        <v>0</v>
      </c>
      <c r="Q16" s="4">
        <v>0</v>
      </c>
      <c r="R16" s="4">
        <v>1325.8</v>
      </c>
      <c r="S16" s="4">
        <v>819.3</v>
      </c>
    </row>
    <row r="17" spans="1:19" x14ac:dyDescent="0.3">
      <c r="A17" s="1" t="s">
        <v>35</v>
      </c>
      <c r="B17" s="1" t="s">
        <v>26</v>
      </c>
      <c r="C17" s="1">
        <v>16</v>
      </c>
      <c r="D17" s="1">
        <v>48</v>
      </c>
      <c r="E17" s="4">
        <v>3620.66</v>
      </c>
      <c r="F17" s="4">
        <v>-179.04</v>
      </c>
      <c r="G17" s="4">
        <v>206.51</v>
      </c>
      <c r="H17" s="4">
        <v>318.04000000000002</v>
      </c>
      <c r="I17" s="4">
        <v>0</v>
      </c>
      <c r="J17" s="4">
        <v>0</v>
      </c>
      <c r="K17" s="4">
        <v>0.13</v>
      </c>
      <c r="L17" s="4">
        <v>3966.3</v>
      </c>
      <c r="M17" s="4">
        <v>1297.9000000000001</v>
      </c>
      <c r="N17" s="4">
        <v>402.5</v>
      </c>
      <c r="O17" s="4">
        <v>1520.6</v>
      </c>
      <c r="P17" s="4">
        <v>0</v>
      </c>
      <c r="Q17" s="4">
        <v>0</v>
      </c>
      <c r="R17" s="4">
        <v>0</v>
      </c>
      <c r="S17" s="4">
        <v>745.3</v>
      </c>
    </row>
    <row r="18" spans="1:19" x14ac:dyDescent="0.3">
      <c r="A18" s="1" t="s">
        <v>36</v>
      </c>
      <c r="B18" s="1" t="s">
        <v>26</v>
      </c>
      <c r="C18" s="1">
        <v>16</v>
      </c>
      <c r="D18" s="1">
        <v>48</v>
      </c>
      <c r="E18" s="4">
        <v>2900.3</v>
      </c>
      <c r="F18" s="4">
        <v>-48.2</v>
      </c>
      <c r="G18" s="4">
        <v>172</v>
      </c>
      <c r="H18" s="4">
        <v>226.13</v>
      </c>
      <c r="I18" s="4">
        <v>0</v>
      </c>
      <c r="J18" s="4">
        <v>0</v>
      </c>
      <c r="K18" s="4">
        <v>7.0000000000000007E-2</v>
      </c>
      <c r="L18" s="4">
        <v>3250.3</v>
      </c>
      <c r="M18" s="4">
        <v>164</v>
      </c>
      <c r="N18" s="4">
        <v>0</v>
      </c>
      <c r="O18" s="4">
        <v>254.3</v>
      </c>
      <c r="P18" s="4">
        <v>438</v>
      </c>
      <c r="Q18" s="4">
        <v>0</v>
      </c>
      <c r="R18" s="4">
        <v>1428.6</v>
      </c>
      <c r="S18" s="4">
        <v>965.4</v>
      </c>
    </row>
    <row r="19" spans="1:19" x14ac:dyDescent="0.3">
      <c r="A19" s="1" t="s">
        <v>37</v>
      </c>
      <c r="B19" s="1" t="s">
        <v>26</v>
      </c>
      <c r="C19" s="1">
        <v>29</v>
      </c>
      <c r="D19" s="1">
        <v>77</v>
      </c>
      <c r="E19" s="4">
        <v>5787.4</v>
      </c>
      <c r="F19" s="4">
        <v>-340.06</v>
      </c>
      <c r="G19" s="4">
        <v>328.17</v>
      </c>
      <c r="H19" s="4">
        <v>506.14</v>
      </c>
      <c r="I19" s="4">
        <v>0</v>
      </c>
      <c r="J19" s="4">
        <v>0</v>
      </c>
      <c r="K19" s="4">
        <v>0.05</v>
      </c>
      <c r="L19" s="4">
        <v>6281.7</v>
      </c>
      <c r="M19" s="4">
        <v>63.2</v>
      </c>
      <c r="N19" s="4">
        <v>0</v>
      </c>
      <c r="O19" s="4">
        <v>2394.5</v>
      </c>
      <c r="P19" s="4">
        <v>71.3</v>
      </c>
      <c r="Q19" s="4">
        <v>0</v>
      </c>
      <c r="R19" s="4">
        <v>1746.3</v>
      </c>
      <c r="S19" s="4">
        <v>2006.4</v>
      </c>
    </row>
    <row r="20" spans="1:19" x14ac:dyDescent="0.3">
      <c r="A20" s="1" t="s">
        <v>38</v>
      </c>
      <c r="B20" s="1" t="s">
        <v>26</v>
      </c>
      <c r="C20" s="1">
        <v>28</v>
      </c>
      <c r="D20" s="1">
        <v>93</v>
      </c>
      <c r="E20" s="4">
        <v>9336.6</v>
      </c>
      <c r="F20" s="4">
        <v>-497.02</v>
      </c>
      <c r="G20" s="4">
        <v>530.80999999999995</v>
      </c>
      <c r="H20" s="4">
        <v>704.3</v>
      </c>
      <c r="I20" s="4">
        <v>0</v>
      </c>
      <c r="J20" s="4">
        <v>0</v>
      </c>
      <c r="K20" s="4">
        <v>-0.09</v>
      </c>
      <c r="L20" s="4">
        <v>10074.6</v>
      </c>
      <c r="M20" s="4">
        <v>1146.0999999999999</v>
      </c>
      <c r="N20" s="4">
        <v>0</v>
      </c>
      <c r="O20" s="4">
        <v>3667.6</v>
      </c>
      <c r="P20" s="4">
        <v>1085.9000000000001</v>
      </c>
      <c r="Q20" s="4">
        <v>0</v>
      </c>
      <c r="R20" s="4">
        <v>1291.7</v>
      </c>
      <c r="S20" s="4">
        <v>2883.3</v>
      </c>
    </row>
    <row r="21" spans="1:19" x14ac:dyDescent="0.3">
      <c r="A21" s="1" t="s">
        <v>39</v>
      </c>
      <c r="B21" s="1" t="s">
        <v>26</v>
      </c>
      <c r="C21" s="1">
        <v>24</v>
      </c>
      <c r="D21" s="1">
        <v>118</v>
      </c>
      <c r="E21" s="4">
        <v>7685.78</v>
      </c>
      <c r="F21" s="4">
        <v>-320.41000000000003</v>
      </c>
      <c r="G21" s="4">
        <v>443.69</v>
      </c>
      <c r="H21" s="4">
        <v>735.98</v>
      </c>
      <c r="I21" s="4">
        <v>0</v>
      </c>
      <c r="J21" s="4">
        <v>0</v>
      </c>
      <c r="K21" s="4">
        <v>-0.04</v>
      </c>
      <c r="L21" s="4">
        <v>8545</v>
      </c>
      <c r="M21" s="4">
        <v>1103.2</v>
      </c>
      <c r="N21" s="4">
        <v>0</v>
      </c>
      <c r="O21" s="4">
        <v>2758.2</v>
      </c>
      <c r="P21" s="4">
        <v>1577.5</v>
      </c>
      <c r="Q21" s="4">
        <v>0</v>
      </c>
      <c r="R21" s="4">
        <v>1519.6</v>
      </c>
      <c r="S21" s="4">
        <v>1586.5</v>
      </c>
    </row>
    <row r="22" spans="1:19" x14ac:dyDescent="0.3">
      <c r="A22" s="1" t="s">
        <v>40</v>
      </c>
      <c r="B22" s="1" t="s">
        <v>26</v>
      </c>
      <c r="C22" s="1">
        <v>26</v>
      </c>
      <c r="D22" s="1">
        <v>80</v>
      </c>
      <c r="E22" s="4">
        <v>4546.5</v>
      </c>
      <c r="F22" s="4">
        <v>-485.32</v>
      </c>
      <c r="G22" s="4">
        <v>243.66</v>
      </c>
      <c r="H22" s="4">
        <v>390.72</v>
      </c>
      <c r="I22" s="4">
        <v>0</v>
      </c>
      <c r="J22" s="4">
        <v>0</v>
      </c>
      <c r="K22" s="4">
        <v>-0.16</v>
      </c>
      <c r="L22" s="4">
        <v>4695.3999999999996</v>
      </c>
      <c r="M22" s="4">
        <v>778.9</v>
      </c>
      <c r="N22" s="4">
        <v>0</v>
      </c>
      <c r="O22" s="4">
        <v>904.3</v>
      </c>
      <c r="P22" s="4">
        <v>944.5</v>
      </c>
      <c r="Q22" s="4">
        <v>0</v>
      </c>
      <c r="R22" s="4">
        <v>533.20000000000005</v>
      </c>
      <c r="S22" s="4">
        <v>1534.5</v>
      </c>
    </row>
    <row r="23" spans="1:19" x14ac:dyDescent="0.3">
      <c r="A23" s="1" t="s">
        <v>41</v>
      </c>
      <c r="B23" s="1" t="s">
        <v>26</v>
      </c>
      <c r="C23" s="1">
        <v>15</v>
      </c>
      <c r="D23" s="1">
        <v>52</v>
      </c>
      <c r="E23" s="4">
        <v>4701.8999999999996</v>
      </c>
      <c r="F23" s="4">
        <v>-495.2</v>
      </c>
      <c r="G23" s="4">
        <v>253.29</v>
      </c>
      <c r="H23" s="4">
        <v>352.23</v>
      </c>
      <c r="I23" s="4">
        <v>0</v>
      </c>
      <c r="J23" s="4">
        <v>0</v>
      </c>
      <c r="K23" s="4">
        <v>0.08</v>
      </c>
      <c r="L23" s="4">
        <v>4812.3</v>
      </c>
      <c r="M23" s="4">
        <v>419.6</v>
      </c>
      <c r="N23" s="4">
        <v>0</v>
      </c>
      <c r="O23" s="4">
        <v>1331.8</v>
      </c>
      <c r="P23" s="4">
        <v>344</v>
      </c>
      <c r="Q23" s="4">
        <v>0</v>
      </c>
      <c r="R23" s="4">
        <v>0</v>
      </c>
      <c r="S23" s="4">
        <v>2716.9</v>
      </c>
    </row>
    <row r="24" spans="1:19" x14ac:dyDescent="0.3">
      <c r="A24" s="1" t="s">
        <v>42</v>
      </c>
      <c r="B24" s="1" t="s">
        <v>26</v>
      </c>
      <c r="C24" s="1">
        <v>21</v>
      </c>
      <c r="D24" s="1">
        <v>95</v>
      </c>
      <c r="E24" s="4">
        <v>5202.6400000000003</v>
      </c>
      <c r="F24" s="4">
        <v>-290.60000000000002</v>
      </c>
      <c r="G24" s="4">
        <v>294.72000000000003</v>
      </c>
      <c r="H24" s="4">
        <v>452.88</v>
      </c>
      <c r="I24" s="4">
        <v>0</v>
      </c>
      <c r="J24" s="4">
        <v>0</v>
      </c>
      <c r="K24" s="4">
        <v>0.16</v>
      </c>
      <c r="L24" s="4">
        <v>5659.8</v>
      </c>
      <c r="M24" s="4">
        <v>690</v>
      </c>
      <c r="N24" s="4">
        <v>53</v>
      </c>
      <c r="O24" s="4">
        <v>15.1</v>
      </c>
      <c r="P24" s="4">
        <v>582.20000000000005</v>
      </c>
      <c r="Q24" s="4">
        <v>0</v>
      </c>
      <c r="R24" s="4">
        <v>2845</v>
      </c>
      <c r="S24" s="4">
        <v>1474.5</v>
      </c>
    </row>
    <row r="25" spans="1:19" x14ac:dyDescent="0.3">
      <c r="A25" s="1" t="s">
        <v>43</v>
      </c>
      <c r="B25" s="1" t="s">
        <v>26</v>
      </c>
      <c r="C25" s="1">
        <v>10</v>
      </c>
      <c r="D25" s="1">
        <v>39</v>
      </c>
      <c r="E25" s="4">
        <v>3129.7</v>
      </c>
      <c r="F25" s="4">
        <v>-306.77999999999997</v>
      </c>
      <c r="G25" s="4">
        <v>169.38</v>
      </c>
      <c r="H25" s="4">
        <v>252.1</v>
      </c>
      <c r="I25" s="4">
        <v>0</v>
      </c>
      <c r="J25" s="4">
        <v>0</v>
      </c>
      <c r="K25" s="4">
        <v>-0.1</v>
      </c>
      <c r="L25" s="4">
        <v>3244.3</v>
      </c>
      <c r="M25" s="4">
        <v>0</v>
      </c>
      <c r="N25" s="4">
        <v>563.1</v>
      </c>
      <c r="O25" s="4">
        <v>745</v>
      </c>
      <c r="P25" s="4">
        <v>0</v>
      </c>
      <c r="Q25" s="4">
        <v>0</v>
      </c>
      <c r="R25" s="4">
        <v>999.6</v>
      </c>
      <c r="S25" s="4">
        <v>936.6</v>
      </c>
    </row>
    <row r="26" spans="1:19" x14ac:dyDescent="0.3">
      <c r="A26" s="1" t="s">
        <v>44</v>
      </c>
      <c r="B26" s="1" t="s">
        <v>26</v>
      </c>
      <c r="C26" s="1">
        <v>14</v>
      </c>
      <c r="D26" s="1">
        <v>26</v>
      </c>
      <c r="E26" s="4">
        <v>2406.1999999999998</v>
      </c>
      <c r="F26" s="4">
        <v>-49.96</v>
      </c>
      <c r="G26" s="4">
        <v>141.83000000000001</v>
      </c>
      <c r="H26" s="4">
        <v>222.88</v>
      </c>
      <c r="I26" s="4">
        <v>0</v>
      </c>
      <c r="J26" s="4">
        <v>0</v>
      </c>
      <c r="K26" s="4">
        <v>-0.05</v>
      </c>
      <c r="L26" s="4">
        <v>2720.9</v>
      </c>
      <c r="M26" s="4">
        <v>66.8</v>
      </c>
      <c r="N26" s="4">
        <v>0</v>
      </c>
      <c r="O26" s="4">
        <v>203.8</v>
      </c>
      <c r="P26" s="4">
        <v>175.8</v>
      </c>
      <c r="Q26" s="4">
        <v>0</v>
      </c>
      <c r="R26" s="4">
        <v>116.6</v>
      </c>
      <c r="S26" s="4">
        <v>2157.9</v>
      </c>
    </row>
    <row r="27" spans="1:19" x14ac:dyDescent="0.3">
      <c r="A27" s="1" t="s">
        <v>45</v>
      </c>
      <c r="B27" s="1" t="s">
        <v>26</v>
      </c>
      <c r="C27" s="1">
        <v>28</v>
      </c>
      <c r="D27" s="1">
        <v>83</v>
      </c>
      <c r="E27" s="4">
        <v>8375.1</v>
      </c>
      <c r="F27" s="4">
        <v>-682.04</v>
      </c>
      <c r="G27" s="4">
        <v>462.05</v>
      </c>
      <c r="H27" s="4">
        <v>680.1</v>
      </c>
      <c r="I27" s="4">
        <v>0</v>
      </c>
      <c r="J27" s="4">
        <v>0</v>
      </c>
      <c r="K27" s="4">
        <v>-0.01</v>
      </c>
      <c r="L27" s="4">
        <v>8835.2000000000007</v>
      </c>
      <c r="M27" s="4">
        <v>1967.4</v>
      </c>
      <c r="N27" s="4">
        <v>497.5</v>
      </c>
      <c r="O27" s="4">
        <v>1999.1</v>
      </c>
      <c r="P27" s="4">
        <v>952.3</v>
      </c>
      <c r="Q27" s="4">
        <v>0</v>
      </c>
      <c r="R27" s="4">
        <v>475.5</v>
      </c>
      <c r="S27" s="4">
        <v>2943.4</v>
      </c>
    </row>
    <row r="28" spans="1:19" x14ac:dyDescent="0.3">
      <c r="A28" s="1" t="s">
        <v>46</v>
      </c>
      <c r="B28" s="1" t="s">
        <v>26</v>
      </c>
      <c r="C28" s="1">
        <v>25</v>
      </c>
      <c r="D28" s="1">
        <v>73</v>
      </c>
      <c r="E28" s="4">
        <v>7264.6</v>
      </c>
      <c r="F28" s="4">
        <v>-680.04</v>
      </c>
      <c r="G28" s="4">
        <v>395.07</v>
      </c>
      <c r="H28" s="4">
        <v>486.58</v>
      </c>
      <c r="I28" s="4">
        <v>0</v>
      </c>
      <c r="J28" s="4">
        <v>0</v>
      </c>
      <c r="K28" s="4">
        <v>0.39</v>
      </c>
      <c r="L28" s="4">
        <v>7466.6</v>
      </c>
      <c r="M28" s="4">
        <v>1227.3</v>
      </c>
      <c r="N28" s="4">
        <v>804</v>
      </c>
      <c r="O28" s="4">
        <v>1351.8</v>
      </c>
      <c r="P28" s="4">
        <v>734.7</v>
      </c>
      <c r="Q28" s="4">
        <v>0</v>
      </c>
      <c r="R28" s="4">
        <v>1186.9000000000001</v>
      </c>
      <c r="S28" s="4">
        <v>2161.9</v>
      </c>
    </row>
    <row r="29" spans="1:19" x14ac:dyDescent="0.3">
      <c r="A29" s="1" t="s">
        <v>47</v>
      </c>
      <c r="B29" s="1" t="s">
        <v>26</v>
      </c>
      <c r="C29" s="1">
        <v>12</v>
      </c>
      <c r="D29" s="1">
        <v>33</v>
      </c>
      <c r="E29" s="4">
        <v>2569.6</v>
      </c>
      <c r="F29" s="4">
        <v>-234.98</v>
      </c>
      <c r="G29" s="4">
        <v>140.07</v>
      </c>
      <c r="H29" s="4">
        <v>230.43</v>
      </c>
      <c r="I29" s="4">
        <v>0</v>
      </c>
      <c r="J29" s="4">
        <v>0</v>
      </c>
      <c r="K29" s="4">
        <v>0.08</v>
      </c>
      <c r="L29" s="4">
        <v>2705.2</v>
      </c>
      <c r="M29" s="4">
        <v>354.3</v>
      </c>
      <c r="N29" s="4">
        <v>0</v>
      </c>
      <c r="O29" s="4">
        <v>905.6</v>
      </c>
      <c r="P29" s="4">
        <v>427.5</v>
      </c>
      <c r="Q29" s="4">
        <v>0</v>
      </c>
      <c r="R29" s="4">
        <v>0</v>
      </c>
      <c r="S29" s="4">
        <v>1017.8</v>
      </c>
    </row>
    <row r="30" spans="1:19" x14ac:dyDescent="0.3">
      <c r="A30" s="1" t="s">
        <v>48</v>
      </c>
      <c r="B30" s="1" t="s">
        <v>26</v>
      </c>
      <c r="C30" s="1">
        <v>8</v>
      </c>
      <c r="D30" s="1">
        <v>27</v>
      </c>
      <c r="E30" s="4">
        <v>1776.6</v>
      </c>
      <c r="F30" s="4">
        <v>-219.08</v>
      </c>
      <c r="G30" s="4">
        <v>93.45</v>
      </c>
      <c r="H30" s="4">
        <v>155.75</v>
      </c>
      <c r="I30" s="4">
        <v>0</v>
      </c>
      <c r="J30" s="4">
        <v>0</v>
      </c>
      <c r="K30" s="4">
        <v>-0.02</v>
      </c>
      <c r="L30" s="4">
        <v>1806.7</v>
      </c>
      <c r="M30" s="4">
        <v>87.9</v>
      </c>
      <c r="N30" s="4">
        <v>0</v>
      </c>
      <c r="O30" s="4">
        <v>0</v>
      </c>
      <c r="P30" s="4">
        <v>1420.8</v>
      </c>
      <c r="Q30" s="4">
        <v>0</v>
      </c>
      <c r="R30" s="4">
        <v>0</v>
      </c>
      <c r="S30" s="4">
        <v>298</v>
      </c>
    </row>
    <row r="31" spans="1:19" x14ac:dyDescent="0.3">
      <c r="A31" s="1" t="s">
        <v>49</v>
      </c>
      <c r="B31" s="1" t="s">
        <v>26</v>
      </c>
      <c r="C31" s="1">
        <v>10</v>
      </c>
      <c r="D31" s="1">
        <v>26</v>
      </c>
      <c r="E31" s="4">
        <v>1922.8</v>
      </c>
      <c r="F31" s="4">
        <v>-157.58000000000001</v>
      </c>
      <c r="G31" s="4">
        <v>105.92</v>
      </c>
      <c r="H31" s="4">
        <v>166.72</v>
      </c>
      <c r="I31" s="4">
        <v>0</v>
      </c>
      <c r="J31" s="4">
        <v>0</v>
      </c>
      <c r="K31" s="4">
        <v>0.04</v>
      </c>
      <c r="L31" s="4">
        <v>2037.9</v>
      </c>
      <c r="M31" s="4">
        <v>255.8</v>
      </c>
      <c r="N31" s="4">
        <v>0</v>
      </c>
      <c r="O31" s="4">
        <v>676.7</v>
      </c>
      <c r="P31" s="4">
        <v>478.9</v>
      </c>
      <c r="Q31" s="4">
        <v>0</v>
      </c>
      <c r="R31" s="4">
        <v>103.9</v>
      </c>
      <c r="S31" s="4">
        <v>522.6</v>
      </c>
    </row>
    <row r="32" spans="1:19" x14ac:dyDescent="0.3">
      <c r="A32" s="1" t="s">
        <v>50</v>
      </c>
      <c r="B32" s="1" t="s">
        <v>26</v>
      </c>
      <c r="C32" s="1">
        <v>20</v>
      </c>
      <c r="D32" s="1">
        <v>45</v>
      </c>
      <c r="E32" s="4">
        <v>4036.4</v>
      </c>
      <c r="F32" s="4">
        <v>-255.34</v>
      </c>
      <c r="G32" s="4">
        <v>228.24</v>
      </c>
      <c r="H32" s="4">
        <v>327.71</v>
      </c>
      <c r="I32" s="4">
        <v>0</v>
      </c>
      <c r="J32" s="4">
        <v>0</v>
      </c>
      <c r="K32" s="4">
        <v>0.19</v>
      </c>
      <c r="L32" s="4">
        <v>4337.2</v>
      </c>
      <c r="M32" s="4">
        <v>55.7</v>
      </c>
      <c r="N32" s="4">
        <v>349.2</v>
      </c>
      <c r="O32" s="4">
        <v>1134.4000000000001</v>
      </c>
      <c r="P32" s="4">
        <v>524.1</v>
      </c>
      <c r="Q32" s="4">
        <v>0</v>
      </c>
      <c r="R32" s="4">
        <v>836.2</v>
      </c>
      <c r="S32" s="4">
        <v>1437.6</v>
      </c>
    </row>
    <row r="33" spans="1:20" x14ac:dyDescent="0.3">
      <c r="A33" s="1" t="s">
        <v>51</v>
      </c>
      <c r="B33" s="1" t="s">
        <v>26</v>
      </c>
      <c r="C33" s="1">
        <v>17</v>
      </c>
      <c r="D33" s="1">
        <v>56</v>
      </c>
      <c r="E33" s="4">
        <v>4606.8999999999996</v>
      </c>
      <c r="F33" s="4">
        <v>-342</v>
      </c>
      <c r="G33" s="4">
        <v>257.26</v>
      </c>
      <c r="H33" s="4">
        <v>396.88</v>
      </c>
      <c r="I33" s="4">
        <v>0</v>
      </c>
      <c r="J33" s="4">
        <v>0</v>
      </c>
      <c r="K33" s="4">
        <v>0.16</v>
      </c>
      <c r="L33" s="4">
        <v>4919.2</v>
      </c>
      <c r="M33" s="4">
        <v>1812.5</v>
      </c>
      <c r="N33" s="4">
        <v>0</v>
      </c>
      <c r="O33" s="4">
        <v>727</v>
      </c>
      <c r="P33" s="4">
        <v>898.4</v>
      </c>
      <c r="Q33" s="4">
        <v>0</v>
      </c>
      <c r="R33" s="4">
        <v>310.2</v>
      </c>
      <c r="S33" s="4">
        <v>1171.0999999999999</v>
      </c>
    </row>
    <row r="34" spans="1:20" x14ac:dyDescent="0.3">
      <c r="A34" s="1" t="s">
        <v>52</v>
      </c>
      <c r="B34" s="1" t="s">
        <v>26</v>
      </c>
      <c r="C34" s="1">
        <v>37</v>
      </c>
      <c r="D34" s="1">
        <v>97</v>
      </c>
      <c r="E34" s="4">
        <v>9104.5</v>
      </c>
      <c r="F34" s="4">
        <v>-768.56</v>
      </c>
      <c r="G34" s="4">
        <v>500.16</v>
      </c>
      <c r="H34" s="4">
        <v>716.72</v>
      </c>
      <c r="I34" s="4">
        <v>0</v>
      </c>
      <c r="J34" s="4">
        <v>0</v>
      </c>
      <c r="K34" s="4">
        <v>-0.12</v>
      </c>
      <c r="L34" s="4">
        <v>9552.7000000000007</v>
      </c>
      <c r="M34" s="4">
        <v>1035.8</v>
      </c>
      <c r="N34" s="4">
        <v>186.8</v>
      </c>
      <c r="O34" s="4">
        <v>2976.8</v>
      </c>
      <c r="P34" s="4">
        <v>1347.8</v>
      </c>
      <c r="Q34" s="4">
        <v>0</v>
      </c>
      <c r="R34" s="4">
        <v>1206.8</v>
      </c>
      <c r="S34" s="4">
        <v>2798.7</v>
      </c>
    </row>
    <row r="35" spans="1:20" x14ac:dyDescent="0.3">
      <c r="A35" s="1" t="s">
        <v>53</v>
      </c>
      <c r="B35" s="1" t="s">
        <v>26</v>
      </c>
      <c r="C35" s="1">
        <v>26</v>
      </c>
      <c r="D35" s="1">
        <v>71</v>
      </c>
      <c r="E35" s="4">
        <v>5814.9</v>
      </c>
      <c r="F35" s="4">
        <v>-537.5</v>
      </c>
      <c r="G35" s="4">
        <v>317.11</v>
      </c>
      <c r="H35" s="4">
        <v>474.49</v>
      </c>
      <c r="I35" s="4">
        <v>0</v>
      </c>
      <c r="J35" s="4">
        <v>0</v>
      </c>
      <c r="K35" s="4">
        <v>0.1</v>
      </c>
      <c r="L35" s="4">
        <v>6069.1</v>
      </c>
      <c r="M35" s="4">
        <v>708.5</v>
      </c>
      <c r="N35" s="4">
        <v>385.1</v>
      </c>
      <c r="O35" s="4">
        <v>1494.8</v>
      </c>
      <c r="P35" s="4">
        <v>294.7</v>
      </c>
      <c r="Q35" s="4">
        <v>0</v>
      </c>
      <c r="R35" s="4">
        <v>968.6</v>
      </c>
      <c r="S35" s="4">
        <v>2217.4</v>
      </c>
    </row>
    <row r="36" spans="1:20" x14ac:dyDescent="0.3">
      <c r="A36" s="1" t="s">
        <v>54</v>
      </c>
      <c r="B36" s="1" t="s">
        <v>26</v>
      </c>
      <c r="C36" s="1">
        <v>13</v>
      </c>
      <c r="D36" s="1">
        <v>29</v>
      </c>
      <c r="E36" s="4">
        <v>2782.2</v>
      </c>
      <c r="F36" s="4">
        <v>-137.62</v>
      </c>
      <c r="G36" s="4">
        <v>158.66999999999999</v>
      </c>
      <c r="H36" s="4">
        <v>241.46</v>
      </c>
      <c r="I36" s="4">
        <v>0</v>
      </c>
      <c r="J36" s="4">
        <v>0</v>
      </c>
      <c r="K36" s="4">
        <v>0.09</v>
      </c>
      <c r="L36" s="4">
        <v>3044.8</v>
      </c>
      <c r="M36" s="4">
        <v>55.7</v>
      </c>
      <c r="N36" s="4">
        <v>0</v>
      </c>
      <c r="O36" s="4">
        <v>493</v>
      </c>
      <c r="P36" s="4">
        <v>271.39999999999998</v>
      </c>
      <c r="Q36" s="4">
        <v>0</v>
      </c>
      <c r="R36" s="4">
        <v>1770.1</v>
      </c>
      <c r="S36" s="4">
        <v>454.6</v>
      </c>
    </row>
    <row r="37" spans="1:20" x14ac:dyDescent="0.3">
      <c r="A37" s="1" t="s">
        <v>55</v>
      </c>
      <c r="B37" s="1" t="s">
        <v>26</v>
      </c>
      <c r="C37" s="1">
        <v>14</v>
      </c>
      <c r="D37" s="1">
        <v>45</v>
      </c>
      <c r="E37" s="4">
        <v>3100.6</v>
      </c>
      <c r="F37" s="4">
        <v>-114.56</v>
      </c>
      <c r="G37" s="4">
        <v>179.16</v>
      </c>
      <c r="H37" s="4">
        <v>298.60000000000002</v>
      </c>
      <c r="I37" s="4">
        <v>0</v>
      </c>
      <c r="J37" s="4">
        <v>0</v>
      </c>
      <c r="K37" s="4">
        <v>0</v>
      </c>
      <c r="L37" s="4">
        <v>3463.8</v>
      </c>
      <c r="M37" s="4">
        <v>462.5</v>
      </c>
      <c r="N37" s="4">
        <v>0</v>
      </c>
      <c r="O37" s="4">
        <v>531.5</v>
      </c>
      <c r="P37" s="27">
        <v>144.4</v>
      </c>
      <c r="Q37" s="4">
        <v>0</v>
      </c>
      <c r="R37" s="4">
        <v>1392.3</v>
      </c>
      <c r="S37" s="4">
        <v>933.1</v>
      </c>
    </row>
    <row r="38" spans="1:20" x14ac:dyDescent="0.3">
      <c r="A38" s="3" t="s">
        <v>24</v>
      </c>
      <c r="B38" s="3" t="s">
        <v>24</v>
      </c>
      <c r="C38" s="3">
        <v>580</v>
      </c>
      <c r="D38" s="3">
        <v>1840</v>
      </c>
      <c r="E38" s="5">
        <f t="shared" ref="E38:S38" si="0">SUM(E8:E37)</f>
        <v>139859.1</v>
      </c>
      <c r="F38" s="5">
        <f t="shared" si="0"/>
        <v>-8974.67</v>
      </c>
      <c r="G38" s="5">
        <f t="shared" si="0"/>
        <v>7864.2299999999987</v>
      </c>
      <c r="H38" s="5">
        <f t="shared" si="0"/>
        <v>11713.259999999998</v>
      </c>
      <c r="I38" s="5">
        <f t="shared" si="0"/>
        <v>0</v>
      </c>
      <c r="J38" s="5">
        <f t="shared" si="0"/>
        <v>0</v>
      </c>
      <c r="K38" s="5">
        <f t="shared" si="0"/>
        <v>1.8800000000000001</v>
      </c>
      <c r="L38" s="7">
        <f t="shared" si="0"/>
        <v>150463.79999999996</v>
      </c>
      <c r="M38" s="5">
        <f t="shared" si="0"/>
        <v>21986.100000000002</v>
      </c>
      <c r="N38" s="5">
        <f t="shared" si="0"/>
        <v>4259.2</v>
      </c>
      <c r="O38" s="5">
        <f t="shared" si="0"/>
        <v>33003.899999999994</v>
      </c>
      <c r="P38" s="5">
        <f t="shared" si="0"/>
        <v>16420.899999999998</v>
      </c>
      <c r="Q38" s="5">
        <f t="shared" si="0"/>
        <v>998.5</v>
      </c>
      <c r="R38" s="5">
        <f t="shared" si="0"/>
        <v>28564.6</v>
      </c>
      <c r="S38" s="5">
        <f t="shared" si="0"/>
        <v>45230.599999999991</v>
      </c>
      <c r="T38" s="6">
        <f>SUM(M38:S38)</f>
        <v>150463.79999999999</v>
      </c>
    </row>
    <row r="39" spans="1:20" ht="58.2" x14ac:dyDescent="0.3">
      <c r="M39" s="8" t="s">
        <v>56</v>
      </c>
      <c r="N39" s="9">
        <v>529.48</v>
      </c>
    </row>
    <row r="40" spans="1:20" ht="58.2" x14ac:dyDescent="0.3">
      <c r="M40" s="8" t="s">
        <v>57</v>
      </c>
      <c r="N40" s="9">
        <v>107.31</v>
      </c>
    </row>
    <row r="41" spans="1:20" ht="58.2" x14ac:dyDescent="0.3">
      <c r="M41" s="10" t="s">
        <v>58</v>
      </c>
      <c r="N41" s="11">
        <f>N38-N39-N40</f>
        <v>3622.41</v>
      </c>
    </row>
    <row r="43" spans="1:20" x14ac:dyDescent="0.3">
      <c r="K43" s="9"/>
      <c r="L43" s="12"/>
      <c r="M43" s="12"/>
      <c r="N43" s="12"/>
      <c r="O43" s="12"/>
      <c r="P43" s="12"/>
      <c r="Q43" s="13">
        <v>94511</v>
      </c>
      <c r="R43" s="14"/>
    </row>
    <row r="44" spans="1:20" x14ac:dyDescent="0.3">
      <c r="K44" s="9" t="s">
        <v>59</v>
      </c>
      <c r="L44" s="9" t="s">
        <v>60</v>
      </c>
      <c r="M44" s="9" t="s">
        <v>61</v>
      </c>
      <c r="N44" s="9" t="s">
        <v>62</v>
      </c>
      <c r="O44" s="9" t="s">
        <v>63</v>
      </c>
      <c r="P44" s="9" t="s">
        <v>64</v>
      </c>
      <c r="Q44" s="9" t="s">
        <v>65</v>
      </c>
      <c r="R44" s="15">
        <f>O38+P38+S38</f>
        <v>94655.39999999998</v>
      </c>
    </row>
    <row r="45" spans="1:20" x14ac:dyDescent="0.3">
      <c r="K45" s="16"/>
      <c r="L45" s="16"/>
      <c r="M45" s="16"/>
      <c r="N45" s="16"/>
      <c r="O45" s="16"/>
      <c r="P45" s="16"/>
      <c r="Q45" s="16"/>
      <c r="R45" s="17"/>
    </row>
    <row r="46" spans="1:20" ht="17.399999999999999" x14ac:dyDescent="0.3">
      <c r="K46" s="18" t="s">
        <v>66</v>
      </c>
      <c r="L46" s="18"/>
      <c r="M46" s="18"/>
      <c r="N46" s="18"/>
      <c r="O46" s="17"/>
      <c r="P46" s="19"/>
      <c r="Q46" s="19"/>
      <c r="R46" s="19"/>
    </row>
    <row r="47" spans="1:20" ht="35.4" x14ac:dyDescent="0.3">
      <c r="K47" s="8" t="s">
        <v>67</v>
      </c>
      <c r="L47" s="20" t="s">
        <v>68</v>
      </c>
      <c r="M47" s="8" t="s">
        <v>69</v>
      </c>
      <c r="N47" s="9" t="s">
        <v>70</v>
      </c>
      <c r="O47" s="17"/>
      <c r="P47" s="19"/>
      <c r="Q47" s="19"/>
      <c r="R47" s="19"/>
    </row>
    <row r="48" spans="1:20" x14ac:dyDescent="0.3">
      <c r="K48" s="21"/>
      <c r="L48" s="22"/>
      <c r="M48" s="22"/>
      <c r="N48" s="23">
        <f>L48-M48</f>
        <v>0</v>
      </c>
      <c r="O48" s="17"/>
      <c r="P48" s="19"/>
      <c r="Q48" s="19"/>
      <c r="R48" s="19"/>
    </row>
    <row r="49" spans="11:18" x14ac:dyDescent="0.3">
      <c r="K49" s="21"/>
      <c r="L49" s="24"/>
      <c r="M49" s="22"/>
      <c r="N49" s="23">
        <f>L49-M49</f>
        <v>0</v>
      </c>
      <c r="O49" s="17"/>
      <c r="P49" s="19"/>
      <c r="Q49" s="19"/>
      <c r="R49" s="19"/>
    </row>
    <row r="50" spans="11:18" x14ac:dyDescent="0.3">
      <c r="K50" s="21"/>
      <c r="L50" s="22"/>
      <c r="M50" s="22"/>
      <c r="N50" s="23">
        <f t="shared" ref="N50:N55" si="1">L50-M50</f>
        <v>0</v>
      </c>
      <c r="O50" s="17"/>
      <c r="P50" s="19"/>
      <c r="Q50" s="19"/>
      <c r="R50" s="19"/>
    </row>
    <row r="51" spans="11:18" x14ac:dyDescent="0.3">
      <c r="K51" s="21"/>
      <c r="L51" s="22"/>
      <c r="M51" s="22"/>
      <c r="N51" s="23">
        <f t="shared" si="1"/>
        <v>0</v>
      </c>
      <c r="O51" s="17"/>
      <c r="P51" s="19"/>
      <c r="Q51" s="19"/>
      <c r="R51" s="19"/>
    </row>
    <row r="52" spans="11:18" x14ac:dyDescent="0.3">
      <c r="K52" s="22"/>
      <c r="L52" s="22"/>
      <c r="M52" s="22"/>
      <c r="N52" s="23">
        <f t="shared" si="1"/>
        <v>0</v>
      </c>
      <c r="O52" s="17"/>
      <c r="P52" s="19"/>
      <c r="Q52" s="19"/>
      <c r="R52" s="19"/>
    </row>
    <row r="53" spans="11:18" x14ac:dyDescent="0.3">
      <c r="K53" s="22"/>
      <c r="L53" s="22"/>
      <c r="M53" s="22"/>
      <c r="N53" s="23">
        <f t="shared" si="1"/>
        <v>0</v>
      </c>
      <c r="O53" s="17"/>
      <c r="P53" s="19"/>
      <c r="Q53" s="19"/>
      <c r="R53" s="19"/>
    </row>
    <row r="54" spans="11:18" x14ac:dyDescent="0.3">
      <c r="K54" s="22"/>
      <c r="L54" s="22"/>
      <c r="M54" s="22"/>
      <c r="N54" s="23">
        <f t="shared" si="1"/>
        <v>0</v>
      </c>
      <c r="O54" s="17"/>
      <c r="P54" s="19"/>
      <c r="Q54" s="19"/>
      <c r="R54" s="19"/>
    </row>
    <row r="55" spans="11:18" x14ac:dyDescent="0.3">
      <c r="K55" s="22"/>
      <c r="L55" s="22"/>
      <c r="M55" s="22"/>
      <c r="N55" s="23">
        <f t="shared" si="1"/>
        <v>0</v>
      </c>
      <c r="O55" s="17"/>
      <c r="P55" s="19"/>
      <c r="Q55" s="19"/>
      <c r="R55" s="19"/>
    </row>
    <row r="56" spans="11:18" x14ac:dyDescent="0.3">
      <c r="K56" s="25" t="s">
        <v>65</v>
      </c>
      <c r="L56" s="26">
        <f>SUM(L48:L55)</f>
        <v>0</v>
      </c>
      <c r="M56" s="26">
        <f>SUM(M48:M55)</f>
        <v>0</v>
      </c>
      <c r="N56" s="26">
        <f>SUM(N48:N55)</f>
        <v>0</v>
      </c>
      <c r="O56" s="17"/>
      <c r="P56" s="19"/>
      <c r="Q56" s="19"/>
      <c r="R56" s="19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2025-10-01T04:27:47Z</dcterms:created>
  <dcterms:modified xsi:type="dcterms:W3CDTF">2025-10-03T14:03:55Z</dcterms:modified>
</cp:coreProperties>
</file>