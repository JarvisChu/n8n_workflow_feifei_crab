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460"/>
  </bookViews>
  <sheets>
    <sheet name="1. (2)" sheetId="2" r:id="rId1"/>
    <sheet name="1.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<sst xmlns="http://schemas.openxmlformats.org/spreadsheetml/2006/main" count="208" uniqueCount="71">
  <si>
    <t>Daily sales</t>
  </si>
  <si>
    <t>Date: 01/07/2025 - 31/07/2025</t>
  </si>
  <si>
    <t>Time: 00:00 - 23:59</t>
  </si>
  <si>
    <t>Merchant: FEI FEI CRAB HOUSE SDN BHD (SUTERA)</t>
  </si>
  <si>
    <t>Time</t>
  </si>
  <si>
    <t>Name</t>
  </si>
  <si>
    <t>Qty</t>
  </si>
  <si>
    <t>Pax</t>
  </si>
  <si>
    <t>Gross</t>
  </si>
  <si>
    <t>Discount</t>
  </si>
  <si>
    <t>SST</t>
  </si>
  <si>
    <t>SC</t>
  </si>
  <si>
    <t>Other Charge</t>
  </si>
  <si>
    <t>Delivery fee</t>
  </si>
  <si>
    <t>Rounding</t>
  </si>
  <si>
    <t>Nett</t>
  </si>
  <si>
    <t>AMEX</t>
  </si>
  <si>
    <t>CASH</t>
  </si>
  <si>
    <t>MASTER</t>
  </si>
  <si>
    <t>MY DEBIT</t>
  </si>
  <si>
    <t>ONLINE BANKING</t>
  </si>
  <si>
    <t>TOUCH N GO</t>
  </si>
  <si>
    <t>VISA</t>
  </si>
  <si>
    <t>01/07/2025</t>
  </si>
  <si>
    <t>FEI FEI CRAB HOUSE SDN BHD (SUTERA)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</si>
  <si>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</si>
  <si>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</si>
  <si>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</si>
  <si>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</si>
  <si>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</si>
  <si>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</si>
  <si>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</si>
  <si>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</si>
  <si>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</si>
  <si>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</si>
  <si>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</si>
  <si>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</si>
  <si>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</si>
  <si>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</si>
  <si>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</si>
  <si>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</si>
  <si>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</si>
  <si>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</si>
  <si>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</si>
  <si>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</si>
  <si>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</si>
  <si>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</si>
  <si>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</si>
  <si>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</si>
  <si>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</si>
  <si>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</si>
  <si>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</si>
  <si>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</si>
  <si>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</si>
  <si>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</si>
  <si>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/>
  </si>
  <si>
    <t>from statement</t>
  </si>
  <si>
    <t>visa</t>
  </si>
  <si>
    <t>master</t>
  </si>
  <si>
    <t>mydebit</t>
  </si>
  <si>
    <t>unionpay</t>
  </si>
  <si>
    <t>Amex</t>
  </si>
  <si>
    <t>Total</t>
  </si>
  <si>
    <t>pay date</t>
  </si>
  <si>
    <t>Customer pay
amount</t>
  </si>
  <si>
    <t>bank actual 
received</t>
  </si>
  <si>
    <t>Amex charge</t>
  </si>
  <si>
    <t>1/7</t>
  </si>
  <si>
    <t>25/7</t>
  </si>
  <si>
    <t>26/7</t>
  </si>
  <si>
    <t>30/7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</si>
</sst>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8">
    <font>
      <sz val="11"/>
      <color theme="1"/>
      <name val="宋体"/>
      <charset val="134"/>
      <scheme val="minor"/>
    </font>
    <font>
      <sz val="11"/>
      <name val="Calibri"/>
      <charset val="134"/>
    </font>
    <font>
      <b/>
      <sz val="11"/>
      <name val="Calibri"/>
      <charset val="134"/>
    </font>
    <font>
      <sz val="9"/>
      <color theme="1"/>
      <name val="Tahoma"/>
      <charset val="134"/>
    </font>
    <font>
      <b/>
      <sz val="9"/>
      <color theme="1"/>
      <name val="Tahoma"/>
      <charset val="134"/>
    </font>
    <font>
      <b/>
      <sz val="14"/>
      <color theme="1"/>
      <name val="Tahoma"/>
      <charset val="134"/>
    </font>
    <font>
      <i/>
      <sz val="9"/>
      <color rgb="FFFF0000"/>
      <name val="Tahoma"/>
      <charset val="134"/>
    </font>
    <font>
      <sz val="9"/>
      <color theme="1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4D79B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0" borderId="1" xfId="0" applyFont="1" applyBorder="1"/>
    <xf numFmtId="2" fontId="4" fillId="0" borderId="1" xfId="0" applyNumberFormat="1" applyFont="1" applyBorder="1"/>
    <xf numFmtId="0" fontId="3" fillId="0" borderId="0" xfId="0" applyFont="1"/>
    <xf numFmtId="0" fontId="5" fillId="0" borderId="2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2" fontId="3" fillId="0" borderId="1" xfId="0" applyNumberFormat="1" applyFont="1" applyBorder="1" applyAlignment="1">
      <alignment wrapText="1"/>
    </xf>
    <xf numFmtId="49" fontId="3" fillId="0" borderId="1" xfId="0" applyNumberFormat="1" applyFont="1" applyBorder="1"/>
    <xf numFmtId="2" fontId="3" fillId="0" borderId="1" xfId="0" applyNumberFormat="1" applyFont="1" applyBorder="1"/>
    <xf numFmtId="2" fontId="3" fillId="4" borderId="1" xfId="0" applyNumberFormat="1" applyFont="1" applyFill="1" applyBorder="1"/>
    <xf numFmtId="0" fontId="3" fillId="4" borderId="1" xfId="0" applyFont="1" applyFill="1" applyBorder="1"/>
    <xf numFmtId="0" fontId="3" fillId="5" borderId="0" xfId="0" applyFont="1" applyFill="1"/>
    <xf numFmtId="2" fontId="3" fillId="5" borderId="0" xfId="0" applyNumberFormat="1" applyFont="1" applyFill="1"/>
    <xf numFmtId="176" fontId="3" fillId="6" borderId="1" xfId="0" applyNumberFormat="1" applyFont="1" applyFill="1" applyBorder="1"/>
    <xf numFmtId="2" fontId="6" fillId="0" borderId="0" xfId="0" applyNumberFormat="1" applyFont="1"/>
    <xf numFmtId="2" fontId="3" fillId="6" borderId="0" xfId="0" applyNumberFormat="1" applyFont="1" applyFill="1"/>
    <xf numFmtId="0" fontId="7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3"/>
  <sheetViews>
    <sheetView tabSelected="1" workbookViewId="0">
      <pane xSplit="4" ySplit="6" topLeftCell="E7" activePane="bottomRight" state="frozen"/>
      <selection/>
      <selection pane="topRight"/>
      <selection pane="bottomLeft"/>
      <selection pane="bottomRight" activeCell="K21" sqref="K21"/>
    </sheetView>
  </sheetViews>
  <sheetFormatPr defaultColWidth="9" defaultRowHeight="16.8"/>
  <cols>
    <col min="1" max="1" width="13" style="1" customWidth="1"/>
    <col min="2" max="2" width="47.4615384615385" style="1" customWidth="1"/>
    <col min="3" max="3" width="6" style="1" customWidth="1"/>
    <col min="4" max="4" width="7" style="1" customWidth="1"/>
    <col min="5" max="5" width="12" style="1" customWidth="1"/>
    <col min="6" max="7" width="11" style="1" customWidth="1"/>
    <col min="8" max="8" width="10" style="1" customWidth="1"/>
    <col min="9" max="9" width="11" style="1" customWidth="1"/>
    <col min="10" max="11" width="15" style="1" customWidth="1"/>
    <col min="12" max="13" width="11" style="1" customWidth="1"/>
    <col min="14" max="14" width="9" style="1" customWidth="1"/>
    <col min="15" max="16" width="10" style="1" customWidth="1"/>
    <col min="17" max="17" width="11" style="1" customWidth="1"/>
    <col min="18" max="18" width="17" style="1" customWidth="1"/>
    <col min="19" max="19" width="13" style="1" customWidth="1"/>
    <col min="20" max="20" width="10" style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6" spans="1:20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/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  <c r="T6" s="2" t="s">
        <v>22</v>
      </c>
    </row>
    <row r="7" spans="1:20">
      <c r="A7" s="1" t="s">
        <v>23</v>
      </c>
      <c r="B7" s="1" t="s">
        <v>24</v>
      </c>
      <c r="C7" s="1">
        <v>17</v>
      </c>
      <c r="D7" s="1">
        <v>47</v>
      </c>
      <c r="E7" s="1">
        <v>3109.4</v>
      </c>
      <c r="F7" s="1">
        <v>-28.99</v>
      </c>
      <c r="G7" s="1">
        <f>E7+F7</f>
        <v>3080.41</v>
      </c>
      <c r="H7" s="1">
        <v>184.84</v>
      </c>
      <c r="I7" s="1">
        <v>304.91</v>
      </c>
      <c r="J7" s="1">
        <v>0</v>
      </c>
      <c r="K7" s="1">
        <v>0</v>
      </c>
      <c r="L7" s="1">
        <v>0.04</v>
      </c>
      <c r="M7" s="1">
        <v>3570.2</v>
      </c>
      <c r="N7" s="1">
        <v>581.3</v>
      </c>
      <c r="O7" s="1">
        <v>1115.5</v>
      </c>
      <c r="P7" s="1">
        <v>280.7</v>
      </c>
      <c r="Q7" s="1">
        <v>132</v>
      </c>
      <c r="R7" s="1">
        <v>0</v>
      </c>
      <c r="S7" s="1">
        <v>1112.7</v>
      </c>
      <c r="T7" s="1">
        <v>348</v>
      </c>
    </row>
    <row r="8" spans="1:20">
      <c r="A8" s="1" t="s">
        <v>25</v>
      </c>
      <c r="B8" s="1" t="s">
        <v>24</v>
      </c>
      <c r="C8" s="1">
        <v>27</v>
      </c>
      <c r="D8" s="1">
        <v>120</v>
      </c>
      <c r="E8" s="1">
        <v>4833.28</v>
      </c>
      <c r="F8" s="1">
        <v>-100</v>
      </c>
      <c r="G8" s="1">
        <f t="shared" ref="G8:G37" si="0">E8+F8</f>
        <v>4733.28</v>
      </c>
      <c r="H8" s="1">
        <v>284.01</v>
      </c>
      <c r="I8" s="1">
        <v>403.45</v>
      </c>
      <c r="J8" s="1">
        <v>0</v>
      </c>
      <c r="K8" s="1">
        <v>0</v>
      </c>
      <c r="L8" s="1">
        <v>0.06</v>
      </c>
      <c r="M8" s="1">
        <v>5420.8</v>
      </c>
      <c r="N8" s="1">
        <v>0</v>
      </c>
      <c r="O8" s="1">
        <v>703.3</v>
      </c>
      <c r="P8" s="1">
        <v>1135.4</v>
      </c>
      <c r="Q8" s="1">
        <v>312.4</v>
      </c>
      <c r="R8" s="1">
        <v>0</v>
      </c>
      <c r="S8" s="1">
        <v>2541.4</v>
      </c>
      <c r="T8" s="1">
        <v>728.3</v>
      </c>
    </row>
    <row r="9" spans="1:20">
      <c r="A9" s="1" t="s">
        <v>26</v>
      </c>
      <c r="B9" s="1" t="s">
        <v>24</v>
      </c>
      <c r="C9" s="1">
        <v>12</v>
      </c>
      <c r="D9" s="1">
        <v>30</v>
      </c>
      <c r="E9" s="1">
        <v>2443.4</v>
      </c>
      <c r="F9" s="1">
        <v>0</v>
      </c>
      <c r="G9" s="1">
        <f t="shared" si="0"/>
        <v>2443.4</v>
      </c>
      <c r="H9" s="1">
        <v>146.62</v>
      </c>
      <c r="I9" s="1">
        <v>212.59</v>
      </c>
      <c r="J9" s="1">
        <v>0</v>
      </c>
      <c r="K9" s="1">
        <v>0</v>
      </c>
      <c r="L9" s="1">
        <v>0.19</v>
      </c>
      <c r="M9" s="1">
        <v>2802.8</v>
      </c>
      <c r="N9" s="1">
        <v>0</v>
      </c>
      <c r="O9" s="1">
        <v>500.7</v>
      </c>
      <c r="P9" s="1">
        <v>0</v>
      </c>
      <c r="Q9" s="1">
        <v>728.2</v>
      </c>
      <c r="R9" s="1">
        <v>0</v>
      </c>
      <c r="S9" s="1">
        <v>328.6</v>
      </c>
      <c r="T9" s="1">
        <v>1245.3</v>
      </c>
    </row>
    <row r="10" spans="1:20">
      <c r="A10" s="1" t="s">
        <v>27</v>
      </c>
      <c r="B10" s="1" t="s">
        <v>24</v>
      </c>
      <c r="C10" s="1">
        <v>16</v>
      </c>
      <c r="D10" s="1">
        <v>46</v>
      </c>
      <c r="E10" s="1">
        <v>3299.3</v>
      </c>
      <c r="F10" s="1">
        <v>0</v>
      </c>
      <c r="G10" s="1">
        <f t="shared" si="0"/>
        <v>3299.3</v>
      </c>
      <c r="H10" s="1">
        <v>197.98</v>
      </c>
      <c r="I10" s="1">
        <v>285.13</v>
      </c>
      <c r="J10" s="1">
        <v>0</v>
      </c>
      <c r="K10" s="1">
        <v>0</v>
      </c>
      <c r="L10" s="1">
        <v>0.09</v>
      </c>
      <c r="M10" s="1">
        <v>3782.5</v>
      </c>
      <c r="N10" s="1">
        <v>0</v>
      </c>
      <c r="O10" s="1">
        <v>1336.1</v>
      </c>
      <c r="P10" s="1">
        <v>285.3</v>
      </c>
      <c r="Q10" s="1">
        <v>246.5</v>
      </c>
      <c r="R10" s="1">
        <v>0</v>
      </c>
      <c r="S10" s="1">
        <v>52.9</v>
      </c>
      <c r="T10" s="1">
        <v>1861.7</v>
      </c>
    </row>
    <row r="11" spans="1:20">
      <c r="A11" s="1" t="s">
        <v>28</v>
      </c>
      <c r="B11" s="1" t="s">
        <v>24</v>
      </c>
      <c r="C11" s="1">
        <v>40</v>
      </c>
      <c r="D11" s="1">
        <v>127</v>
      </c>
      <c r="E11" s="1">
        <v>10887.64</v>
      </c>
      <c r="F11" s="1">
        <v>-280.46</v>
      </c>
      <c r="G11" s="1">
        <f t="shared" si="0"/>
        <v>10607.18</v>
      </c>
      <c r="H11" s="1">
        <v>636.46</v>
      </c>
      <c r="I11" s="1">
        <v>977.55</v>
      </c>
      <c r="J11" s="1">
        <v>0</v>
      </c>
      <c r="K11" s="1">
        <v>0</v>
      </c>
      <c r="L11" s="1">
        <v>0.21</v>
      </c>
      <c r="M11" s="1">
        <v>12221.4</v>
      </c>
      <c r="N11" s="1">
        <v>0</v>
      </c>
      <c r="O11" s="1">
        <v>1446.6</v>
      </c>
      <c r="P11" s="1">
        <v>4879.4</v>
      </c>
      <c r="Q11" s="1">
        <v>753.2</v>
      </c>
      <c r="R11" s="1">
        <v>265</v>
      </c>
      <c r="S11" s="1">
        <v>2346.3</v>
      </c>
      <c r="T11" s="1">
        <v>2530.9</v>
      </c>
    </row>
    <row r="12" spans="1:20">
      <c r="A12" s="1" t="s">
        <v>29</v>
      </c>
      <c r="B12" s="1" t="s">
        <v>24</v>
      </c>
      <c r="C12" s="1">
        <v>29</v>
      </c>
      <c r="D12" s="1">
        <v>121</v>
      </c>
      <c r="E12" s="1">
        <v>7902.4</v>
      </c>
      <c r="F12" s="1">
        <v>-124.6</v>
      </c>
      <c r="G12" s="1">
        <f t="shared" si="0"/>
        <v>7777.8</v>
      </c>
      <c r="H12" s="1">
        <v>466.66</v>
      </c>
      <c r="I12" s="1">
        <v>739.54</v>
      </c>
      <c r="J12" s="1">
        <v>0</v>
      </c>
      <c r="K12" s="1">
        <v>0</v>
      </c>
      <c r="L12" s="1">
        <v>0.1</v>
      </c>
      <c r="M12" s="1">
        <v>8984.1</v>
      </c>
      <c r="N12" s="1">
        <v>0</v>
      </c>
      <c r="O12" s="1">
        <v>1943.4</v>
      </c>
      <c r="P12" s="1">
        <v>3839.5</v>
      </c>
      <c r="Q12" s="1">
        <v>1037.5</v>
      </c>
      <c r="R12" s="1">
        <v>0</v>
      </c>
      <c r="S12" s="1">
        <v>1002.6</v>
      </c>
      <c r="T12" s="1">
        <v>1161.1</v>
      </c>
    </row>
    <row r="13" spans="1:20">
      <c r="A13" s="1" t="s">
        <v>30</v>
      </c>
      <c r="B13" s="1" t="s">
        <v>24</v>
      </c>
      <c r="C13" s="1">
        <v>9</v>
      </c>
      <c r="D13" s="1">
        <v>35</v>
      </c>
      <c r="E13" s="1">
        <v>2348</v>
      </c>
      <c r="F13" s="1">
        <v>-86.34</v>
      </c>
      <c r="G13" s="1">
        <f t="shared" si="0"/>
        <v>2261.66</v>
      </c>
      <c r="H13" s="1">
        <v>135.7</v>
      </c>
      <c r="I13" s="1">
        <v>224.69</v>
      </c>
      <c r="J13" s="1">
        <v>0</v>
      </c>
      <c r="K13" s="1">
        <v>0</v>
      </c>
      <c r="L13" s="1">
        <v>0.05</v>
      </c>
      <c r="M13" s="1">
        <v>2622.1</v>
      </c>
      <c r="N13" s="1">
        <v>0</v>
      </c>
      <c r="O13" s="1">
        <v>141.1</v>
      </c>
      <c r="P13" s="1">
        <v>256.6</v>
      </c>
      <c r="Q13" s="1">
        <v>0</v>
      </c>
      <c r="R13" s="1">
        <v>0</v>
      </c>
      <c r="S13" s="1">
        <v>788.6</v>
      </c>
      <c r="T13" s="1">
        <v>1435.8</v>
      </c>
    </row>
    <row r="14" spans="1:20">
      <c r="A14" s="1" t="s">
        <v>31</v>
      </c>
      <c r="B14" s="1" t="s">
        <v>24</v>
      </c>
      <c r="C14" s="1">
        <v>22</v>
      </c>
      <c r="D14" s="1">
        <v>81</v>
      </c>
      <c r="E14" s="1">
        <v>4170.1</v>
      </c>
      <c r="F14" s="1">
        <v>0</v>
      </c>
      <c r="G14" s="1">
        <f t="shared" si="0"/>
        <v>4170.1</v>
      </c>
      <c r="H14" s="1">
        <v>250.2</v>
      </c>
      <c r="I14" s="1">
        <v>363.38</v>
      </c>
      <c r="J14" s="1">
        <v>0</v>
      </c>
      <c r="K14" s="1">
        <v>0</v>
      </c>
      <c r="L14" s="1">
        <v>0.02</v>
      </c>
      <c r="M14" s="1">
        <v>4783.7</v>
      </c>
      <c r="N14" s="1">
        <v>0</v>
      </c>
      <c r="O14" s="1">
        <v>857.8</v>
      </c>
      <c r="P14" s="1">
        <v>1265</v>
      </c>
      <c r="Q14" s="1">
        <v>274.4</v>
      </c>
      <c r="R14" s="1">
        <v>0</v>
      </c>
      <c r="S14" s="1">
        <v>1421.4</v>
      </c>
      <c r="T14" s="1">
        <v>965.1</v>
      </c>
    </row>
    <row r="15" spans="1:20">
      <c r="A15" s="1" t="s">
        <v>32</v>
      </c>
      <c r="B15" s="1" t="s">
        <v>24</v>
      </c>
      <c r="C15" s="1">
        <v>18</v>
      </c>
      <c r="D15" s="1">
        <v>40</v>
      </c>
      <c r="E15" s="1">
        <v>3961.8</v>
      </c>
      <c r="F15" s="1">
        <v>-171.52</v>
      </c>
      <c r="G15" s="1">
        <f t="shared" si="0"/>
        <v>3790.28</v>
      </c>
      <c r="H15" s="1">
        <v>227.43</v>
      </c>
      <c r="I15" s="1">
        <v>302.35</v>
      </c>
      <c r="J15" s="1">
        <v>0</v>
      </c>
      <c r="K15" s="1">
        <v>0</v>
      </c>
      <c r="L15" s="1">
        <v>0.14</v>
      </c>
      <c r="M15" s="1">
        <v>4320.2</v>
      </c>
      <c r="N15" s="1">
        <v>0</v>
      </c>
      <c r="O15" s="1">
        <v>406.7</v>
      </c>
      <c r="P15" s="1">
        <v>364.5</v>
      </c>
      <c r="Q15" s="1">
        <v>581</v>
      </c>
      <c r="R15" s="1">
        <v>0</v>
      </c>
      <c r="S15" s="1">
        <v>2760.1</v>
      </c>
      <c r="T15" s="1">
        <v>207.9</v>
      </c>
    </row>
    <row r="16" spans="1:20">
      <c r="A16" s="1" t="s">
        <v>33</v>
      </c>
      <c r="B16" s="1" t="s">
        <v>24</v>
      </c>
      <c r="C16" s="1">
        <v>18</v>
      </c>
      <c r="D16" s="1">
        <v>36</v>
      </c>
      <c r="E16" s="1">
        <v>3576.6</v>
      </c>
      <c r="F16" s="1">
        <v>0</v>
      </c>
      <c r="G16" s="1">
        <f t="shared" si="0"/>
        <v>3576.6</v>
      </c>
      <c r="H16" s="1">
        <v>214.61</v>
      </c>
      <c r="I16" s="1">
        <v>241.32</v>
      </c>
      <c r="J16" s="1">
        <v>0</v>
      </c>
      <c r="K16" s="1">
        <v>0</v>
      </c>
      <c r="L16" s="1">
        <v>0.17</v>
      </c>
      <c r="M16" s="1">
        <v>4032.7</v>
      </c>
      <c r="N16" s="1">
        <v>0</v>
      </c>
      <c r="O16" s="1">
        <v>450.8</v>
      </c>
      <c r="P16" s="1">
        <v>859.8</v>
      </c>
      <c r="Q16" s="1">
        <v>343.8</v>
      </c>
      <c r="R16" s="1">
        <v>386.9</v>
      </c>
      <c r="S16" s="1">
        <v>1076.8</v>
      </c>
      <c r="T16" s="1">
        <v>914.6</v>
      </c>
    </row>
    <row r="17" spans="1:20">
      <c r="A17" s="1" t="s">
        <v>34</v>
      </c>
      <c r="B17" s="1" t="s">
        <v>24</v>
      </c>
      <c r="C17" s="1">
        <v>20</v>
      </c>
      <c r="D17" s="1">
        <v>68</v>
      </c>
      <c r="E17" s="1">
        <v>5668.1</v>
      </c>
      <c r="F17" s="1">
        <v>0</v>
      </c>
      <c r="G17" s="1">
        <f t="shared" si="0"/>
        <v>5668.1</v>
      </c>
      <c r="H17" s="1">
        <v>340.11</v>
      </c>
      <c r="I17" s="1">
        <v>553.27</v>
      </c>
      <c r="J17" s="1">
        <v>0</v>
      </c>
      <c r="K17" s="1">
        <v>0</v>
      </c>
      <c r="L17" s="1">
        <v>0.12</v>
      </c>
      <c r="M17" s="1">
        <v>6561.6</v>
      </c>
      <c r="N17" s="1">
        <v>0</v>
      </c>
      <c r="O17" s="1">
        <v>599.2</v>
      </c>
      <c r="P17" s="1">
        <v>1370.7</v>
      </c>
      <c r="Q17" s="1">
        <v>5.3</v>
      </c>
      <c r="R17" s="1">
        <v>91.2</v>
      </c>
      <c r="S17" s="1">
        <v>1027.6</v>
      </c>
      <c r="T17" s="1">
        <v>3467.6</v>
      </c>
    </row>
    <row r="18" spans="1:20">
      <c r="A18" s="1" t="s">
        <v>35</v>
      </c>
      <c r="B18" s="1" t="s">
        <v>24</v>
      </c>
      <c r="C18" s="1">
        <v>38</v>
      </c>
      <c r="D18" s="1">
        <v>138</v>
      </c>
      <c r="E18" s="1">
        <v>10538.1</v>
      </c>
      <c r="F18" s="1">
        <v>-188.56</v>
      </c>
      <c r="G18" s="1">
        <f t="shared" si="0"/>
        <v>10349.54</v>
      </c>
      <c r="H18" s="1">
        <v>620.95</v>
      </c>
      <c r="I18" s="1">
        <v>968.47</v>
      </c>
      <c r="J18" s="1">
        <v>0</v>
      </c>
      <c r="K18" s="1">
        <v>0</v>
      </c>
      <c r="L18" s="1">
        <v>0.34</v>
      </c>
      <c r="M18" s="1">
        <v>11939.3</v>
      </c>
      <c r="N18" s="1">
        <v>0</v>
      </c>
      <c r="O18" s="1">
        <v>2008.9</v>
      </c>
      <c r="P18" s="1">
        <v>4685.7</v>
      </c>
      <c r="Q18" s="1">
        <v>1204.4</v>
      </c>
      <c r="R18" s="1">
        <v>0</v>
      </c>
      <c r="S18" s="1">
        <v>2676</v>
      </c>
      <c r="T18" s="1">
        <v>1364.3</v>
      </c>
    </row>
    <row r="19" spans="1:20">
      <c r="A19" s="1" t="s">
        <v>36</v>
      </c>
      <c r="B19" s="1" t="s">
        <v>24</v>
      </c>
      <c r="C19" s="1">
        <v>29</v>
      </c>
      <c r="D19" s="1">
        <v>85</v>
      </c>
      <c r="E19" s="1">
        <v>7143.2</v>
      </c>
      <c r="F19" s="1">
        <v>-50</v>
      </c>
      <c r="G19" s="1">
        <f t="shared" si="0"/>
        <v>7093.2</v>
      </c>
      <c r="H19" s="1">
        <v>425.59</v>
      </c>
      <c r="I19" s="1">
        <v>638.32</v>
      </c>
      <c r="J19" s="1">
        <v>0</v>
      </c>
      <c r="K19" s="1">
        <v>0</v>
      </c>
      <c r="L19" s="1">
        <v>-0.11</v>
      </c>
      <c r="M19" s="1">
        <v>8157</v>
      </c>
      <c r="N19" s="1">
        <v>0</v>
      </c>
      <c r="O19" s="1">
        <f>1927+531.2</f>
        <v>2458.2</v>
      </c>
      <c r="P19" s="1">
        <f>1065.6-531.2</f>
        <v>534.4</v>
      </c>
      <c r="Q19" s="1">
        <v>1043.7</v>
      </c>
      <c r="R19" s="1">
        <v>0</v>
      </c>
      <c r="S19" s="1">
        <v>623.1</v>
      </c>
      <c r="T19" s="1">
        <v>3497.6</v>
      </c>
    </row>
    <row r="20" spans="1:20">
      <c r="A20" s="1" t="s">
        <v>37</v>
      </c>
      <c r="B20" s="1" t="s">
        <v>24</v>
      </c>
      <c r="C20" s="1">
        <v>13</v>
      </c>
      <c r="D20" s="1">
        <v>31</v>
      </c>
      <c r="E20" s="1">
        <v>2509.5</v>
      </c>
      <c r="F20" s="1">
        <v>-51.69</v>
      </c>
      <c r="G20" s="1">
        <f t="shared" si="0"/>
        <v>2457.81</v>
      </c>
      <c r="H20" s="1">
        <v>147.48</v>
      </c>
      <c r="I20" s="1">
        <v>214.58</v>
      </c>
      <c r="J20" s="1">
        <v>0</v>
      </c>
      <c r="K20" s="1">
        <v>0</v>
      </c>
      <c r="L20" s="1">
        <v>0.13</v>
      </c>
      <c r="M20" s="1">
        <v>2820</v>
      </c>
      <c r="N20" s="1">
        <v>0</v>
      </c>
      <c r="O20" s="1">
        <v>711</v>
      </c>
      <c r="P20" s="1">
        <v>507.2</v>
      </c>
      <c r="Q20" s="1">
        <v>829.9</v>
      </c>
      <c r="R20" s="1">
        <v>0</v>
      </c>
      <c r="S20" s="1">
        <v>478.9</v>
      </c>
      <c r="T20" s="1">
        <v>293</v>
      </c>
    </row>
    <row r="21" spans="1:20">
      <c r="A21" s="1" t="s">
        <v>38</v>
      </c>
      <c r="B21" s="1" t="s">
        <v>24</v>
      </c>
      <c r="C21" s="1">
        <v>15</v>
      </c>
      <c r="D21" s="1">
        <v>30</v>
      </c>
      <c r="E21" s="1">
        <v>2398.3</v>
      </c>
      <c r="F21" s="1">
        <v>-51.69</v>
      </c>
      <c r="G21" s="1">
        <f t="shared" si="0"/>
        <v>2346.61</v>
      </c>
      <c r="H21" s="1">
        <v>140.8</v>
      </c>
      <c r="I21" s="1">
        <v>199.11</v>
      </c>
      <c r="J21" s="1">
        <v>0</v>
      </c>
      <c r="K21" s="1">
        <v>0</v>
      </c>
      <c r="L21" s="1">
        <v>-0.12</v>
      </c>
      <c r="M21" s="1">
        <v>2686.4</v>
      </c>
      <c r="N21" s="1">
        <v>0</v>
      </c>
      <c r="O21" s="1">
        <v>486.8</v>
      </c>
      <c r="P21" s="1">
        <v>163.3</v>
      </c>
      <c r="Q21" s="1">
        <v>0</v>
      </c>
      <c r="R21" s="1">
        <v>70.8</v>
      </c>
      <c r="S21" s="1">
        <v>1346.1</v>
      </c>
      <c r="T21" s="1">
        <v>619.4</v>
      </c>
    </row>
    <row r="22" spans="1:20">
      <c r="A22" s="1" t="s">
        <v>39</v>
      </c>
      <c r="B22" s="1" t="s">
        <v>24</v>
      </c>
      <c r="C22" s="1">
        <v>17</v>
      </c>
      <c r="D22" s="1">
        <v>45</v>
      </c>
      <c r="E22" s="1">
        <v>4101.4</v>
      </c>
      <c r="F22" s="1">
        <v>0</v>
      </c>
      <c r="G22" s="1">
        <f t="shared" si="0"/>
        <v>4101.4</v>
      </c>
      <c r="H22" s="1">
        <v>246.1</v>
      </c>
      <c r="I22" s="1">
        <v>371.46</v>
      </c>
      <c r="J22" s="1">
        <v>0</v>
      </c>
      <c r="K22" s="1">
        <v>0</v>
      </c>
      <c r="L22" s="1">
        <v>0.14</v>
      </c>
      <c r="M22" s="1">
        <v>4719.1</v>
      </c>
      <c r="N22" s="1">
        <v>0</v>
      </c>
      <c r="O22" s="1">
        <v>168.1</v>
      </c>
      <c r="P22" s="1">
        <v>973.1</v>
      </c>
      <c r="Q22" s="1">
        <v>219.1</v>
      </c>
      <c r="R22" s="1">
        <v>0</v>
      </c>
      <c r="S22" s="1">
        <v>1232</v>
      </c>
      <c r="T22" s="1">
        <v>2126.8</v>
      </c>
    </row>
    <row r="23" spans="1:20">
      <c r="A23" s="1" t="s">
        <v>40</v>
      </c>
      <c r="B23" s="1" t="s">
        <v>24</v>
      </c>
      <c r="C23" s="1">
        <v>18</v>
      </c>
      <c r="D23" s="1">
        <v>48</v>
      </c>
      <c r="E23" s="1">
        <v>3383.8</v>
      </c>
      <c r="F23" s="1">
        <v>-3.19</v>
      </c>
      <c r="G23" s="1">
        <f t="shared" si="0"/>
        <v>3380.61</v>
      </c>
      <c r="H23" s="1">
        <v>202.83</v>
      </c>
      <c r="I23" s="1">
        <v>303.62</v>
      </c>
      <c r="J23" s="1">
        <v>0</v>
      </c>
      <c r="K23" s="1">
        <v>0</v>
      </c>
      <c r="L23" s="1">
        <v>0.14</v>
      </c>
      <c r="M23" s="1">
        <v>3887.2</v>
      </c>
      <c r="N23" s="1">
        <v>0</v>
      </c>
      <c r="O23" s="1">
        <v>620.6</v>
      </c>
      <c r="P23" s="1">
        <v>564.2</v>
      </c>
      <c r="Q23" s="1">
        <v>344.9</v>
      </c>
      <c r="R23" s="1">
        <v>0</v>
      </c>
      <c r="S23" s="1">
        <v>936.6</v>
      </c>
      <c r="T23" s="1">
        <v>1420.9</v>
      </c>
    </row>
    <row r="24" spans="1:20">
      <c r="A24" s="1" t="s">
        <v>41</v>
      </c>
      <c r="B24" s="1" t="s">
        <v>24</v>
      </c>
      <c r="C24" s="1">
        <v>19</v>
      </c>
      <c r="D24" s="1">
        <v>51</v>
      </c>
      <c r="E24" s="1">
        <v>4796.8</v>
      </c>
      <c r="F24" s="1">
        <v>-50</v>
      </c>
      <c r="G24" s="1">
        <f t="shared" si="0"/>
        <v>4746.8</v>
      </c>
      <c r="H24" s="1">
        <v>284.82</v>
      </c>
      <c r="I24" s="1">
        <v>334.59</v>
      </c>
      <c r="J24" s="1">
        <v>0</v>
      </c>
      <c r="K24" s="1">
        <v>0</v>
      </c>
      <c r="L24" s="1">
        <v>-0.01</v>
      </c>
      <c r="M24" s="1">
        <v>5366.2</v>
      </c>
      <c r="N24" s="1">
        <v>0</v>
      </c>
      <c r="O24" s="1">
        <v>1231.1</v>
      </c>
      <c r="P24" s="1">
        <v>966.8</v>
      </c>
      <c r="Q24" s="1">
        <v>528.7</v>
      </c>
      <c r="R24" s="1">
        <v>103.9</v>
      </c>
      <c r="S24" s="1">
        <v>1153</v>
      </c>
      <c r="T24" s="1">
        <v>1382.7</v>
      </c>
    </row>
    <row r="25" spans="1:20">
      <c r="A25" s="1" t="s">
        <v>42</v>
      </c>
      <c r="B25" s="1" t="s">
        <v>24</v>
      </c>
      <c r="C25" s="1">
        <v>42</v>
      </c>
      <c r="D25" s="1">
        <v>173</v>
      </c>
      <c r="E25" s="1">
        <v>14648.8</v>
      </c>
      <c r="F25" s="1">
        <v>-95.92</v>
      </c>
      <c r="G25" s="1">
        <f t="shared" si="0"/>
        <v>14552.88</v>
      </c>
      <c r="H25" s="1">
        <v>873.17</v>
      </c>
      <c r="I25" s="1">
        <v>1431.21</v>
      </c>
      <c r="J25" s="1">
        <v>0</v>
      </c>
      <c r="K25" s="1">
        <v>0</v>
      </c>
      <c r="L25" s="1">
        <v>0.44</v>
      </c>
      <c r="M25" s="1">
        <v>16857.7</v>
      </c>
      <c r="N25" s="1">
        <v>0</v>
      </c>
      <c r="O25" s="1">
        <v>2662.2</v>
      </c>
      <c r="P25" s="1">
        <v>5532.2</v>
      </c>
      <c r="Q25" s="1">
        <v>961.2</v>
      </c>
      <c r="R25" s="1">
        <v>79.6</v>
      </c>
      <c r="S25" s="1">
        <v>2417.2</v>
      </c>
      <c r="T25" s="1">
        <v>5205.3</v>
      </c>
    </row>
    <row r="26" spans="1:20">
      <c r="A26" s="1" t="s">
        <v>43</v>
      </c>
      <c r="B26" s="1" t="s">
        <v>24</v>
      </c>
      <c r="C26" s="1">
        <v>26</v>
      </c>
      <c r="D26" s="1">
        <v>59</v>
      </c>
      <c r="E26" s="1">
        <v>4729.7</v>
      </c>
      <c r="F26" s="1">
        <v>-70.54</v>
      </c>
      <c r="G26" s="1">
        <f t="shared" si="0"/>
        <v>4659.16</v>
      </c>
      <c r="H26" s="1">
        <v>279.55</v>
      </c>
      <c r="I26" s="1">
        <v>429.01</v>
      </c>
      <c r="J26" s="1">
        <v>0</v>
      </c>
      <c r="K26" s="1">
        <v>0</v>
      </c>
      <c r="L26" s="1">
        <v>0.28</v>
      </c>
      <c r="M26" s="1">
        <v>5368</v>
      </c>
      <c r="N26" s="1">
        <v>0</v>
      </c>
      <c r="O26" s="1">
        <v>212.7</v>
      </c>
      <c r="P26" s="1">
        <v>1731.2</v>
      </c>
      <c r="Q26" s="1">
        <v>533.4</v>
      </c>
      <c r="R26" s="1">
        <v>0</v>
      </c>
      <c r="S26" s="1">
        <v>571.2</v>
      </c>
      <c r="T26" s="1">
        <v>2319.5</v>
      </c>
    </row>
    <row r="27" spans="1:20">
      <c r="A27" s="1" t="s">
        <v>44</v>
      </c>
      <c r="B27" s="1" t="s">
        <v>24</v>
      </c>
      <c r="C27" s="1">
        <v>14</v>
      </c>
      <c r="D27" s="1">
        <v>45</v>
      </c>
      <c r="E27" s="1">
        <v>3221.2</v>
      </c>
      <c r="F27" s="1">
        <v>-50</v>
      </c>
      <c r="G27" s="1">
        <f t="shared" si="0"/>
        <v>3171.2</v>
      </c>
      <c r="H27" s="1">
        <v>190.27</v>
      </c>
      <c r="I27" s="1">
        <v>281.95</v>
      </c>
      <c r="J27" s="1">
        <v>0</v>
      </c>
      <c r="K27" s="1">
        <v>0</v>
      </c>
      <c r="L27" s="1">
        <v>0.28</v>
      </c>
      <c r="M27" s="1">
        <v>3643.7</v>
      </c>
      <c r="N27" s="1">
        <v>0</v>
      </c>
      <c r="O27" s="1">
        <v>466.8</v>
      </c>
      <c r="P27" s="1">
        <v>669.4</v>
      </c>
      <c r="Q27" s="1">
        <v>0</v>
      </c>
      <c r="R27" s="1">
        <v>0</v>
      </c>
      <c r="S27" s="1">
        <v>718.4</v>
      </c>
      <c r="T27" s="1">
        <v>1789.1</v>
      </c>
    </row>
    <row r="28" spans="1:20">
      <c r="A28" s="1" t="s">
        <v>45</v>
      </c>
      <c r="B28" s="1" t="s">
        <v>24</v>
      </c>
      <c r="C28" s="1">
        <v>19</v>
      </c>
      <c r="D28" s="1">
        <v>50</v>
      </c>
      <c r="E28" s="1">
        <v>3976.6</v>
      </c>
      <c r="F28" s="1">
        <v>-1.78</v>
      </c>
      <c r="G28" s="1">
        <f t="shared" si="0"/>
        <v>3974.82</v>
      </c>
      <c r="H28" s="1">
        <v>238.5</v>
      </c>
      <c r="I28" s="1">
        <v>369.03</v>
      </c>
      <c r="J28" s="1">
        <v>0</v>
      </c>
      <c r="K28" s="1">
        <v>0</v>
      </c>
      <c r="L28" s="1">
        <v>-0.05</v>
      </c>
      <c r="M28" s="1">
        <v>4582.3</v>
      </c>
      <c r="N28" s="1">
        <v>0</v>
      </c>
      <c r="O28" s="1">
        <v>800</v>
      </c>
      <c r="P28" s="1">
        <v>0</v>
      </c>
      <c r="Q28" s="1">
        <v>1961.6</v>
      </c>
      <c r="R28" s="1">
        <v>0</v>
      </c>
      <c r="S28" s="1">
        <v>361</v>
      </c>
      <c r="T28" s="1">
        <v>1459.7</v>
      </c>
    </row>
    <row r="29" spans="1:20">
      <c r="A29" s="1" t="s">
        <v>46</v>
      </c>
      <c r="B29" s="1" t="s">
        <v>24</v>
      </c>
      <c r="C29" s="1">
        <v>13</v>
      </c>
      <c r="D29" s="1">
        <v>29</v>
      </c>
      <c r="E29" s="1">
        <v>2211.9</v>
      </c>
      <c r="F29" s="1">
        <v>0</v>
      </c>
      <c r="G29" s="1">
        <f t="shared" si="0"/>
        <v>2211.9</v>
      </c>
      <c r="H29" s="1">
        <v>132.72</v>
      </c>
      <c r="I29" s="1">
        <v>216.05</v>
      </c>
      <c r="J29" s="1">
        <v>0</v>
      </c>
      <c r="K29" s="1">
        <v>0</v>
      </c>
      <c r="L29" s="1">
        <v>0.03</v>
      </c>
      <c r="M29" s="1">
        <v>2560.7</v>
      </c>
      <c r="N29" s="1">
        <v>0</v>
      </c>
      <c r="O29" s="1">
        <v>640.8</v>
      </c>
      <c r="P29" s="1">
        <v>0</v>
      </c>
      <c r="Q29" s="1">
        <v>626.6</v>
      </c>
      <c r="R29" s="1">
        <v>0</v>
      </c>
      <c r="S29" s="1">
        <v>0</v>
      </c>
      <c r="T29" s="1">
        <v>1293.3</v>
      </c>
    </row>
    <row r="30" spans="1:20">
      <c r="A30" s="1" t="s">
        <v>47</v>
      </c>
      <c r="B30" s="1" t="s">
        <v>24</v>
      </c>
      <c r="C30" s="1">
        <v>15</v>
      </c>
      <c r="D30" s="1">
        <v>54</v>
      </c>
      <c r="E30" s="1">
        <v>4621.84</v>
      </c>
      <c r="F30" s="1">
        <v>-50</v>
      </c>
      <c r="G30" s="1">
        <f t="shared" si="0"/>
        <v>4571.84</v>
      </c>
      <c r="H30" s="1">
        <v>274.33</v>
      </c>
      <c r="I30" s="1">
        <v>435.38</v>
      </c>
      <c r="J30" s="1">
        <v>0</v>
      </c>
      <c r="K30" s="1">
        <v>0</v>
      </c>
      <c r="L30" s="1">
        <v>-0.05</v>
      </c>
      <c r="M30" s="1">
        <v>5281.5</v>
      </c>
      <c r="N30" s="1">
        <v>0</v>
      </c>
      <c r="O30" s="1">
        <v>382.6</v>
      </c>
      <c r="P30" s="1">
        <v>1166</v>
      </c>
      <c r="Q30" s="1">
        <v>815.2</v>
      </c>
      <c r="R30" s="1">
        <v>0</v>
      </c>
      <c r="S30" s="1">
        <v>2438.2</v>
      </c>
      <c r="T30" s="1">
        <v>479.5</v>
      </c>
    </row>
    <row r="31" spans="1:20">
      <c r="A31" s="1" t="s">
        <v>48</v>
      </c>
      <c r="B31" s="1" t="s">
        <v>24</v>
      </c>
      <c r="C31" s="1">
        <v>19</v>
      </c>
      <c r="D31" s="1">
        <v>42</v>
      </c>
      <c r="E31" s="1">
        <v>4771.78</v>
      </c>
      <c r="F31" s="1">
        <v>0</v>
      </c>
      <c r="G31" s="1">
        <f t="shared" si="0"/>
        <v>4771.78</v>
      </c>
      <c r="H31" s="1">
        <v>286.3</v>
      </c>
      <c r="I31" s="1">
        <v>354.08</v>
      </c>
      <c r="J31" s="1">
        <v>0</v>
      </c>
      <c r="K31" s="1">
        <v>0</v>
      </c>
      <c r="L31" s="1">
        <v>0.04</v>
      </c>
      <c r="M31" s="1">
        <v>5412.2</v>
      </c>
      <c r="N31" s="1">
        <v>385.4</v>
      </c>
      <c r="O31" s="1">
        <v>1973.7</v>
      </c>
      <c r="P31" s="1">
        <v>1209</v>
      </c>
      <c r="Q31" s="1">
        <v>267.1</v>
      </c>
      <c r="R31" s="1">
        <v>0</v>
      </c>
      <c r="S31" s="1">
        <v>1063.2</v>
      </c>
      <c r="T31" s="1">
        <v>513.8</v>
      </c>
    </row>
    <row r="32" spans="1:20">
      <c r="A32" s="1" t="s">
        <v>49</v>
      </c>
      <c r="B32" s="1" t="s">
        <v>24</v>
      </c>
      <c r="C32" s="1">
        <v>41</v>
      </c>
      <c r="D32" s="1">
        <v>177</v>
      </c>
      <c r="E32" s="1">
        <v>11019.62</v>
      </c>
      <c r="F32" s="1">
        <v>-51.69</v>
      </c>
      <c r="G32" s="1">
        <f t="shared" si="0"/>
        <v>10967.93</v>
      </c>
      <c r="H32" s="1">
        <v>658.06</v>
      </c>
      <c r="I32" s="1">
        <v>1025.81</v>
      </c>
      <c r="J32" s="1">
        <v>0</v>
      </c>
      <c r="K32" s="1">
        <v>0</v>
      </c>
      <c r="L32" s="1">
        <v>0</v>
      </c>
      <c r="M32" s="1">
        <v>12651.8</v>
      </c>
      <c r="N32" s="1">
        <v>224.9</v>
      </c>
      <c r="O32" s="1">
        <v>3063.7</v>
      </c>
      <c r="P32" s="1">
        <v>4448</v>
      </c>
      <c r="Q32" s="1">
        <v>249.9</v>
      </c>
      <c r="R32" s="1">
        <v>0</v>
      </c>
      <c r="S32" s="1">
        <v>1739.8</v>
      </c>
      <c r="T32" s="1">
        <v>2925.5</v>
      </c>
    </row>
    <row r="33" spans="1:20">
      <c r="A33" s="1" t="s">
        <v>50</v>
      </c>
      <c r="B33" s="1" t="s">
        <v>24</v>
      </c>
      <c r="C33" s="1">
        <v>27</v>
      </c>
      <c r="D33" s="1">
        <v>79</v>
      </c>
      <c r="E33" s="1">
        <v>6418.6</v>
      </c>
      <c r="F33" s="1">
        <v>-50</v>
      </c>
      <c r="G33" s="1">
        <f t="shared" si="0"/>
        <v>6368.6</v>
      </c>
      <c r="H33" s="1">
        <v>382.1</v>
      </c>
      <c r="I33" s="1">
        <v>569.87</v>
      </c>
      <c r="J33" s="1">
        <v>0</v>
      </c>
      <c r="K33" s="1">
        <v>0</v>
      </c>
      <c r="L33" s="1">
        <v>0.23</v>
      </c>
      <c r="M33" s="1">
        <v>7320.8</v>
      </c>
      <c r="N33" s="1">
        <v>0</v>
      </c>
      <c r="O33" s="1">
        <v>1803.2</v>
      </c>
      <c r="P33" s="1">
        <v>589.4</v>
      </c>
      <c r="Q33" s="1">
        <v>322.9</v>
      </c>
      <c r="R33" s="1">
        <v>212</v>
      </c>
      <c r="S33" s="1">
        <v>338.7</v>
      </c>
      <c r="T33" s="1">
        <v>4054.6</v>
      </c>
    </row>
    <row r="34" spans="1:20">
      <c r="A34" s="1" t="s">
        <v>51</v>
      </c>
      <c r="B34" s="1" t="s">
        <v>24</v>
      </c>
      <c r="C34" s="1">
        <v>14</v>
      </c>
      <c r="D34" s="1">
        <v>28</v>
      </c>
      <c r="E34" s="1">
        <v>2000.5</v>
      </c>
      <c r="F34" s="1">
        <v>-51.69</v>
      </c>
      <c r="G34" s="1">
        <f t="shared" si="0"/>
        <v>1948.81</v>
      </c>
      <c r="H34" s="1">
        <v>116.94</v>
      </c>
      <c r="I34" s="1">
        <v>165.68</v>
      </c>
      <c r="J34" s="1">
        <v>0</v>
      </c>
      <c r="K34" s="1">
        <v>0</v>
      </c>
      <c r="L34" s="1">
        <v>0.07</v>
      </c>
      <c r="M34" s="1">
        <v>2231.5</v>
      </c>
      <c r="N34" s="1">
        <v>0</v>
      </c>
      <c r="O34" s="1">
        <v>429.8</v>
      </c>
      <c r="P34" s="1">
        <v>496.9</v>
      </c>
      <c r="Q34" s="1">
        <v>375</v>
      </c>
      <c r="R34" s="1">
        <v>248</v>
      </c>
      <c r="S34" s="1">
        <v>275.9</v>
      </c>
      <c r="T34" s="1">
        <v>405.9</v>
      </c>
    </row>
    <row r="35" spans="1:20">
      <c r="A35" s="1" t="s">
        <v>52</v>
      </c>
      <c r="B35" s="1" t="s">
        <v>24</v>
      </c>
      <c r="C35" s="1">
        <v>17</v>
      </c>
      <c r="D35" s="1">
        <v>50</v>
      </c>
      <c r="E35" s="1">
        <v>3149.98</v>
      </c>
      <c r="F35" s="1">
        <v>0</v>
      </c>
      <c r="G35" s="1">
        <f t="shared" si="0"/>
        <v>3149.98</v>
      </c>
      <c r="H35" s="1">
        <v>189.01</v>
      </c>
      <c r="I35" s="1">
        <v>313.52</v>
      </c>
      <c r="J35" s="1">
        <v>0</v>
      </c>
      <c r="K35" s="1">
        <v>0</v>
      </c>
      <c r="L35" s="1">
        <v>0.29</v>
      </c>
      <c r="M35" s="1">
        <v>3652.8</v>
      </c>
      <c r="N35" s="1">
        <v>0</v>
      </c>
      <c r="O35" s="1">
        <v>2254.4</v>
      </c>
      <c r="P35" s="1">
        <v>0</v>
      </c>
      <c r="Q35" s="1">
        <v>487.6</v>
      </c>
      <c r="R35" s="1">
        <v>0</v>
      </c>
      <c r="S35" s="1">
        <v>355.4</v>
      </c>
      <c r="T35" s="1">
        <v>555.4</v>
      </c>
    </row>
    <row r="36" spans="1:20">
      <c r="A36" s="1" t="s">
        <v>53</v>
      </c>
      <c r="B36" s="1" t="s">
        <v>24</v>
      </c>
      <c r="C36" s="1">
        <v>20</v>
      </c>
      <c r="D36" s="1">
        <v>49</v>
      </c>
      <c r="E36" s="1">
        <v>4017.78</v>
      </c>
      <c r="F36" s="1">
        <v>-167.8</v>
      </c>
      <c r="G36" s="1">
        <f t="shared" si="0"/>
        <v>3849.98</v>
      </c>
      <c r="H36" s="1">
        <v>231.01</v>
      </c>
      <c r="I36" s="1">
        <v>324.2</v>
      </c>
      <c r="J36" s="1">
        <v>0</v>
      </c>
      <c r="K36" s="1">
        <v>0</v>
      </c>
      <c r="L36" s="1">
        <v>0.21</v>
      </c>
      <c r="M36" s="1">
        <v>4405.4</v>
      </c>
      <c r="N36" s="1">
        <v>120.2</v>
      </c>
      <c r="O36" s="1">
        <v>665.4</v>
      </c>
      <c r="P36" s="1">
        <v>773.3</v>
      </c>
      <c r="Q36" s="1">
        <v>516.2</v>
      </c>
      <c r="R36" s="1">
        <v>0</v>
      </c>
      <c r="S36" s="1">
        <v>1054.4</v>
      </c>
      <c r="T36" s="1">
        <v>1275.9</v>
      </c>
    </row>
    <row r="37" spans="1:20">
      <c r="A37" s="1" t="s">
        <v>54</v>
      </c>
      <c r="B37" s="1" t="s">
        <v>24</v>
      </c>
      <c r="C37" s="1">
        <v>22</v>
      </c>
      <c r="D37" s="1">
        <v>54</v>
      </c>
      <c r="E37" s="1">
        <v>3657</v>
      </c>
      <c r="F37" s="1">
        <v>-25.83</v>
      </c>
      <c r="G37" s="1">
        <f t="shared" si="0"/>
        <v>3631.17</v>
      </c>
      <c r="H37" s="1">
        <v>217.88</v>
      </c>
      <c r="I37" s="1">
        <v>346.02</v>
      </c>
      <c r="J37" s="1">
        <v>0</v>
      </c>
      <c r="K37" s="1">
        <v>0</v>
      </c>
      <c r="L37" s="1">
        <v>0.13</v>
      </c>
      <c r="M37" s="1">
        <v>4195.2</v>
      </c>
      <c r="N37" s="1">
        <v>0</v>
      </c>
      <c r="O37" s="1">
        <v>1322.9</v>
      </c>
      <c r="P37" s="1">
        <v>1554.5</v>
      </c>
      <c r="Q37" s="1">
        <v>153.8</v>
      </c>
      <c r="R37" s="1">
        <v>0</v>
      </c>
      <c r="S37" s="1">
        <v>77.4</v>
      </c>
      <c r="T37" s="1">
        <v>1086.6</v>
      </c>
    </row>
    <row r="38" spans="1:20">
      <c r="A38" s="3" t="s">
        <v>55</v>
      </c>
      <c r="B38" s="3" t="s">
        <v>55</v>
      </c>
      <c r="C38" s="3">
        <f>SUM(C7:C37)</f>
        <v>666</v>
      </c>
      <c r="D38" s="3">
        <f t="shared" ref="D38:G38" si="1">SUM(D7:D37)</f>
        <v>2068</v>
      </c>
      <c r="E38" s="3">
        <f t="shared" si="1"/>
        <v>155516.42</v>
      </c>
      <c r="F38" s="3">
        <f t="shared" si="1"/>
        <v>-1802.29</v>
      </c>
      <c r="G38" s="3">
        <f t="shared" si="1"/>
        <v>153714.13</v>
      </c>
      <c r="H38" s="3">
        <f t="shared" ref="H38:I38" si="2">SUM(H7:H37)</f>
        <v>9223.03</v>
      </c>
      <c r="I38" s="3">
        <f t="shared" si="2"/>
        <v>13900.14</v>
      </c>
      <c r="J38" s="3">
        <f t="shared" ref="J38:M38" si="3">SUM(J7:J37)</f>
        <v>0</v>
      </c>
      <c r="K38" s="3">
        <f t="shared" si="3"/>
        <v>0</v>
      </c>
      <c r="L38" s="3">
        <f t="shared" si="3"/>
        <v>3.6</v>
      </c>
      <c r="M38" s="3">
        <f t="shared" si="3"/>
        <v>176840.9</v>
      </c>
      <c r="N38" s="3">
        <f t="shared" ref="N38:P38" si="4">SUM(N7:N37)</f>
        <v>1311.8</v>
      </c>
      <c r="O38" s="3">
        <f t="shared" si="4"/>
        <v>33864.1</v>
      </c>
      <c r="P38" s="3">
        <f t="shared" si="4"/>
        <v>41101.5</v>
      </c>
      <c r="Q38" s="3">
        <f t="shared" ref="Q38:R38" si="5">SUM(Q7:Q37)</f>
        <v>15855.5</v>
      </c>
      <c r="R38" s="3">
        <f t="shared" si="5"/>
        <v>1457.4</v>
      </c>
      <c r="S38" s="3">
        <f t="shared" ref="S38:T38" si="6">SUM(S7:S37)</f>
        <v>34315.5</v>
      </c>
      <c r="T38" s="3">
        <f t="shared" si="6"/>
        <v>48935.1</v>
      </c>
    </row>
    <row r="39" spans="21:21">
      <c r="U39" s="1"/>
    </row>
    <row r="40" spans="14:21">
      <c r="N40" s="4"/>
      <c r="O40" s="5">
        <v>48935.1</v>
      </c>
      <c r="P40" s="5">
        <v>41101.5</v>
      </c>
      <c r="Q40" s="5">
        <v>15855.5</v>
      </c>
      <c r="R40" s="5"/>
      <c r="S40" s="5"/>
      <c r="T40" s="16">
        <f>SUM(O40:S40)</f>
        <v>105892.1</v>
      </c>
      <c r="U40" s="17"/>
    </row>
    <row r="41" spans="14:21">
      <c r="N41" s="4" t="s">
        <v>56</v>
      </c>
      <c r="O41" s="4" t="s">
        <v>57</v>
      </c>
      <c r="P41" s="4" t="s">
        <v>58</v>
      </c>
      <c r="Q41" s="4" t="s">
        <v>59</v>
      </c>
      <c r="R41" s="4" t="s">
        <v>60</v>
      </c>
      <c r="S41" s="4" t="s">
        <v>61</v>
      </c>
      <c r="T41" s="4" t="s">
        <v>62</v>
      </c>
      <c r="U41" s="18">
        <f>P38+Q38+T38</f>
        <v>105892.1</v>
      </c>
    </row>
    <row r="42" spans="14:21">
      <c r="N42" s="6"/>
      <c r="O42" s="6"/>
      <c r="P42" s="6"/>
      <c r="Q42" s="6"/>
      <c r="R42" s="6"/>
      <c r="S42" s="6"/>
      <c r="T42" s="6"/>
      <c r="U42" s="6"/>
    </row>
    <row r="43" ht="20.4" spans="14:21">
      <c r="N43" s="7" t="s">
        <v>16</v>
      </c>
      <c r="O43" s="7"/>
      <c r="P43" s="7"/>
      <c r="Q43" s="7"/>
      <c r="R43" s="6"/>
      <c r="S43" s="19"/>
      <c r="T43" s="19"/>
      <c r="U43" s="19"/>
    </row>
    <row r="44" ht="41" spans="14:21">
      <c r="N44" s="8" t="s">
        <v>63</v>
      </c>
      <c r="O44" s="9" t="s">
        <v>64</v>
      </c>
      <c r="P44" s="8" t="s">
        <v>65</v>
      </c>
      <c r="Q44" s="4" t="s">
        <v>66</v>
      </c>
      <c r="R44" s="6"/>
      <c r="S44" s="19"/>
      <c r="T44" s="19"/>
      <c r="U44" s="19"/>
    </row>
    <row r="45" spans="14:21">
      <c r="N45" s="10" t="s">
        <v>67</v>
      </c>
      <c r="O45" s="4">
        <v>581.3</v>
      </c>
      <c r="P45" s="4">
        <v>572.58</v>
      </c>
      <c r="Q45" s="11">
        <f>O45-P45</f>
        <v>8.71999999999991</v>
      </c>
      <c r="R45" s="6"/>
      <c r="S45" s="19"/>
      <c r="T45" s="19"/>
      <c r="U45" s="19"/>
    </row>
    <row r="46" spans="14:21">
      <c r="N46" s="10" t="s">
        <v>68</v>
      </c>
      <c r="O46" s="12">
        <v>385.4</v>
      </c>
      <c r="P46" s="4"/>
      <c r="Q46" s="11">
        <f>O46-P46</f>
        <v>385.4</v>
      </c>
      <c r="R46" s="6"/>
      <c r="S46" s="19"/>
      <c r="T46" s="19"/>
      <c r="U46" s="19"/>
    </row>
    <row r="47" spans="14:21">
      <c r="N47" s="10" t="s">
        <v>69</v>
      </c>
      <c r="O47" s="13">
        <v>224.9</v>
      </c>
      <c r="P47" s="13">
        <v>601.6</v>
      </c>
      <c r="Q47" s="11">
        <f t="shared" ref="Q47:Q52" si="7">O47-P47</f>
        <v>-376.7</v>
      </c>
      <c r="R47" s="6"/>
      <c r="S47" s="19"/>
      <c r="T47" s="19"/>
      <c r="U47" s="19"/>
    </row>
    <row r="48" spans="14:21">
      <c r="N48" s="10" t="s">
        <v>70</v>
      </c>
      <c r="O48" s="4">
        <v>120.2</v>
      </c>
      <c r="P48" s="4">
        <v>118.64</v>
      </c>
      <c r="Q48" s="11">
        <f t="shared" si="7"/>
        <v>1.56</v>
      </c>
      <c r="R48" s="6"/>
      <c r="S48" s="19"/>
      <c r="T48" s="19"/>
      <c r="U48" s="19"/>
    </row>
    <row r="49" spans="14:21">
      <c r="N49" s="4"/>
      <c r="O49" s="4"/>
      <c r="P49" s="4"/>
      <c r="Q49" s="11">
        <f t="shared" si="7"/>
        <v>0</v>
      </c>
      <c r="R49" s="6"/>
      <c r="S49" s="19"/>
      <c r="T49" s="19"/>
      <c r="U49" s="19"/>
    </row>
    <row r="50" spans="14:21">
      <c r="N50" s="4"/>
      <c r="O50" s="4"/>
      <c r="P50" s="4"/>
      <c r="Q50" s="11">
        <f t="shared" si="7"/>
        <v>0</v>
      </c>
      <c r="R50" s="6"/>
      <c r="S50" s="19"/>
      <c r="T50" s="19"/>
      <c r="U50" s="19"/>
    </row>
    <row r="51" spans="14:21">
      <c r="N51" s="4"/>
      <c r="O51" s="4"/>
      <c r="P51" s="4"/>
      <c r="Q51" s="11">
        <f t="shared" si="7"/>
        <v>0</v>
      </c>
      <c r="R51" s="6"/>
      <c r="S51" s="19"/>
      <c r="T51" s="19"/>
      <c r="U51" s="19"/>
    </row>
    <row r="52" spans="14:21">
      <c r="N52" s="4"/>
      <c r="O52" s="4"/>
      <c r="P52" s="4"/>
      <c r="Q52" s="11">
        <f t="shared" si="7"/>
        <v>0</v>
      </c>
      <c r="R52" s="6"/>
      <c r="S52" s="19"/>
      <c r="T52" s="19"/>
      <c r="U52" s="19"/>
    </row>
    <row r="53" spans="14:21">
      <c r="N53" s="14" t="s">
        <v>62</v>
      </c>
      <c r="O53" s="15">
        <f>SUM(O45:O52)</f>
        <v>1311.8</v>
      </c>
      <c r="P53" s="15">
        <f>SUM(P45:P52)</f>
        <v>1292.82</v>
      </c>
      <c r="Q53" s="15">
        <f>SUM(Q45:Q52)</f>
        <v>18.9799999999998</v>
      </c>
      <c r="R53" s="6"/>
      <c r="S53" s="19"/>
      <c r="T53" s="19"/>
      <c r="U53" s="19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3"/>
  <sheetViews>
    <sheetView workbookViewId="0">
      <pane xSplit="3" ySplit="6" topLeftCell="D7" activePane="bottomRight" state="frozen"/>
      <selection/>
      <selection pane="topRight"/>
      <selection pane="bottomLeft"/>
      <selection pane="bottomRight" activeCell="A30" sqref="$A30:$XFD30"/>
    </sheetView>
  </sheetViews>
  <sheetFormatPr defaultColWidth="9" defaultRowHeight="16.8"/>
  <cols>
    <col min="1" max="1" width="13" style="1" customWidth="1"/>
    <col min="2" max="2" width="38" style="1" customWidth="1"/>
    <col min="3" max="3" width="6" style="1" customWidth="1"/>
    <col min="4" max="4" width="7" style="1" customWidth="1"/>
    <col min="5" max="5" width="12" style="1" customWidth="1"/>
    <col min="6" max="6" width="11" style="1" customWidth="1"/>
    <col min="7" max="7" width="10" style="1" customWidth="1"/>
    <col min="8" max="8" width="11" style="1" customWidth="1"/>
    <col min="9" max="10" width="15" style="1" customWidth="1"/>
    <col min="11" max="12" width="11" style="1" customWidth="1"/>
    <col min="13" max="13" width="9" style="1" customWidth="1"/>
    <col min="14" max="15" width="10" style="1" customWidth="1"/>
    <col min="16" max="16" width="11" style="1" customWidth="1"/>
    <col min="17" max="17" width="17" style="1" customWidth="1"/>
    <col min="18" max="18" width="13" style="1" customWidth="1"/>
    <col min="19" max="19" width="10" style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6" spans="1:19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</row>
    <row r="7" spans="1:19">
      <c r="A7" s="1" t="s">
        <v>23</v>
      </c>
      <c r="B7" s="1" t="s">
        <v>24</v>
      </c>
      <c r="C7" s="1">
        <v>17</v>
      </c>
      <c r="D7" s="1">
        <v>47</v>
      </c>
      <c r="E7" s="1">
        <v>3109.4</v>
      </c>
      <c r="F7" s="1">
        <v>-28.99</v>
      </c>
      <c r="G7" s="1">
        <v>184.84</v>
      </c>
      <c r="H7" s="1">
        <v>304.91</v>
      </c>
      <c r="I7" s="1">
        <v>0</v>
      </c>
      <c r="J7" s="1">
        <v>0</v>
      </c>
      <c r="K7" s="1">
        <v>0.04</v>
      </c>
      <c r="L7" s="1">
        <v>3570.2</v>
      </c>
      <c r="M7" s="1">
        <v>581.3</v>
      </c>
      <c r="N7" s="1">
        <v>1115.5</v>
      </c>
      <c r="O7" s="1">
        <v>280.7</v>
      </c>
      <c r="P7" s="1">
        <v>132</v>
      </c>
      <c r="Q7" s="1">
        <v>0</v>
      </c>
      <c r="R7" s="1">
        <v>1112.7</v>
      </c>
      <c r="S7" s="1">
        <v>348</v>
      </c>
    </row>
    <row r="8" spans="1:19">
      <c r="A8" s="1" t="s">
        <v>25</v>
      </c>
      <c r="B8" s="1" t="s">
        <v>24</v>
      </c>
      <c r="C8" s="1">
        <v>27</v>
      </c>
      <c r="D8" s="1">
        <v>120</v>
      </c>
      <c r="E8" s="1">
        <v>4833.28</v>
      </c>
      <c r="F8" s="1">
        <v>-100</v>
      </c>
      <c r="G8" s="1">
        <v>284.01</v>
      </c>
      <c r="H8" s="1">
        <v>403.45</v>
      </c>
      <c r="I8" s="1">
        <v>0</v>
      </c>
      <c r="J8" s="1">
        <v>0</v>
      </c>
      <c r="K8" s="1">
        <v>0.06</v>
      </c>
      <c r="L8" s="1">
        <v>5420.8</v>
      </c>
      <c r="M8" s="1">
        <v>0</v>
      </c>
      <c r="N8" s="1">
        <v>703.3</v>
      </c>
      <c r="O8" s="1">
        <v>1135.4</v>
      </c>
      <c r="P8" s="1">
        <v>312.4</v>
      </c>
      <c r="Q8" s="1">
        <v>0</v>
      </c>
      <c r="R8" s="1">
        <v>2541.4</v>
      </c>
      <c r="S8" s="1">
        <v>728.3</v>
      </c>
    </row>
    <row r="9" spans="1:19">
      <c r="A9" s="1" t="s">
        <v>26</v>
      </c>
      <c r="B9" s="1" t="s">
        <v>24</v>
      </c>
      <c r="C9" s="1">
        <v>12</v>
      </c>
      <c r="D9" s="1">
        <v>30</v>
      </c>
      <c r="E9" s="1">
        <v>2443.4</v>
      </c>
      <c r="F9" s="1">
        <v>0</v>
      </c>
      <c r="G9" s="1">
        <v>146.62</v>
      </c>
      <c r="H9" s="1">
        <v>212.59</v>
      </c>
      <c r="I9" s="1">
        <v>0</v>
      </c>
      <c r="J9" s="1">
        <v>0</v>
      </c>
      <c r="K9" s="1">
        <v>0.19</v>
      </c>
      <c r="L9" s="1">
        <v>2802.8</v>
      </c>
      <c r="M9" s="1">
        <v>0</v>
      </c>
      <c r="N9" s="1">
        <v>500.7</v>
      </c>
      <c r="O9" s="1">
        <v>0</v>
      </c>
      <c r="P9" s="1">
        <v>728.2</v>
      </c>
      <c r="Q9" s="1">
        <v>0</v>
      </c>
      <c r="R9" s="1">
        <v>328.6</v>
      </c>
      <c r="S9" s="1">
        <v>1245.3</v>
      </c>
    </row>
    <row r="10" spans="1:19">
      <c r="A10" s="1" t="s">
        <v>27</v>
      </c>
      <c r="B10" s="1" t="s">
        <v>24</v>
      </c>
      <c r="C10" s="1">
        <v>16</v>
      </c>
      <c r="D10" s="1">
        <v>46</v>
      </c>
      <c r="E10" s="1">
        <v>3299.3</v>
      </c>
      <c r="F10" s="1">
        <v>0</v>
      </c>
      <c r="G10" s="1">
        <v>197.98</v>
      </c>
      <c r="H10" s="1">
        <v>285.13</v>
      </c>
      <c r="I10" s="1">
        <v>0</v>
      </c>
      <c r="J10" s="1">
        <v>0</v>
      </c>
      <c r="K10" s="1">
        <v>0.09</v>
      </c>
      <c r="L10" s="1">
        <v>3782.5</v>
      </c>
      <c r="M10" s="1">
        <v>0</v>
      </c>
      <c r="N10" s="1">
        <v>1336.1</v>
      </c>
      <c r="O10" s="1">
        <v>285.3</v>
      </c>
      <c r="P10" s="1">
        <v>246.5</v>
      </c>
      <c r="Q10" s="1">
        <v>0</v>
      </c>
      <c r="R10" s="1">
        <v>52.9</v>
      </c>
      <c r="S10" s="1">
        <v>1861.7</v>
      </c>
    </row>
    <row r="11" spans="1:19">
      <c r="A11" s="1" t="s">
        <v>28</v>
      </c>
      <c r="B11" s="1" t="s">
        <v>24</v>
      </c>
      <c r="C11" s="1">
        <v>40</v>
      </c>
      <c r="D11" s="1">
        <v>127</v>
      </c>
      <c r="E11" s="1">
        <v>10887.64</v>
      </c>
      <c r="F11" s="1">
        <v>-280.46</v>
      </c>
      <c r="G11" s="1">
        <v>636.46</v>
      </c>
      <c r="H11" s="1">
        <v>977.55</v>
      </c>
      <c r="I11" s="1">
        <v>0</v>
      </c>
      <c r="J11" s="1">
        <v>0</v>
      </c>
      <c r="K11" s="1">
        <v>0.21</v>
      </c>
      <c r="L11" s="1">
        <v>12221.4</v>
      </c>
      <c r="M11" s="1">
        <v>0</v>
      </c>
      <c r="N11" s="1">
        <v>1446.6</v>
      </c>
      <c r="O11" s="1">
        <v>4879.4</v>
      </c>
      <c r="P11" s="1">
        <v>753.2</v>
      </c>
      <c r="Q11" s="1">
        <v>265</v>
      </c>
      <c r="R11" s="1">
        <v>2346.3</v>
      </c>
      <c r="S11" s="1">
        <v>2530.9</v>
      </c>
    </row>
    <row r="12" spans="1:19">
      <c r="A12" s="1" t="s">
        <v>29</v>
      </c>
      <c r="B12" s="1" t="s">
        <v>24</v>
      </c>
      <c r="C12" s="1">
        <v>29</v>
      </c>
      <c r="D12" s="1">
        <v>121</v>
      </c>
      <c r="E12" s="1">
        <v>7902.4</v>
      </c>
      <c r="F12" s="1">
        <v>-124.6</v>
      </c>
      <c r="G12" s="1">
        <v>466.66</v>
      </c>
      <c r="H12" s="1">
        <v>739.54</v>
      </c>
      <c r="I12" s="1">
        <v>0</v>
      </c>
      <c r="J12" s="1">
        <v>0</v>
      </c>
      <c r="K12" s="1">
        <v>0.1</v>
      </c>
      <c r="L12" s="1">
        <v>8984.1</v>
      </c>
      <c r="M12" s="1">
        <v>0</v>
      </c>
      <c r="N12" s="1">
        <v>1943.4</v>
      </c>
      <c r="O12" s="1">
        <v>3839.5</v>
      </c>
      <c r="P12" s="1">
        <v>1037.5</v>
      </c>
      <c r="Q12" s="1">
        <v>0</v>
      </c>
      <c r="R12" s="1">
        <v>1002.6</v>
      </c>
      <c r="S12" s="1">
        <v>1161.1</v>
      </c>
    </row>
    <row r="13" spans="1:19">
      <c r="A13" s="1" t="s">
        <v>30</v>
      </c>
      <c r="B13" s="1" t="s">
        <v>24</v>
      </c>
      <c r="C13" s="1">
        <v>9</v>
      </c>
      <c r="D13" s="1">
        <v>35</v>
      </c>
      <c r="E13" s="1">
        <v>2348</v>
      </c>
      <c r="F13" s="1">
        <v>-86.34</v>
      </c>
      <c r="G13" s="1">
        <v>135.7</v>
      </c>
      <c r="H13" s="1">
        <v>224.69</v>
      </c>
      <c r="I13" s="1">
        <v>0</v>
      </c>
      <c r="J13" s="1">
        <v>0</v>
      </c>
      <c r="K13" s="1">
        <v>0.05</v>
      </c>
      <c r="L13" s="1">
        <v>2622.1</v>
      </c>
      <c r="M13" s="1">
        <v>0</v>
      </c>
      <c r="N13" s="1">
        <v>141.1</v>
      </c>
      <c r="O13" s="1">
        <v>256.6</v>
      </c>
      <c r="P13" s="1">
        <v>0</v>
      </c>
      <c r="Q13" s="1">
        <v>0</v>
      </c>
      <c r="R13" s="1">
        <v>788.6</v>
      </c>
      <c r="S13" s="1">
        <v>1435.8</v>
      </c>
    </row>
    <row r="14" spans="1:19">
      <c r="A14" s="1" t="s">
        <v>31</v>
      </c>
      <c r="B14" s="1" t="s">
        <v>24</v>
      </c>
      <c r="C14" s="1">
        <v>22</v>
      </c>
      <c r="D14" s="1">
        <v>81</v>
      </c>
      <c r="E14" s="1">
        <v>4170.1</v>
      </c>
      <c r="F14" s="1">
        <v>0</v>
      </c>
      <c r="G14" s="1">
        <v>250.2</v>
      </c>
      <c r="H14" s="1">
        <v>363.38</v>
      </c>
      <c r="I14" s="1">
        <v>0</v>
      </c>
      <c r="J14" s="1">
        <v>0</v>
      </c>
      <c r="K14" s="1">
        <v>0.02</v>
      </c>
      <c r="L14" s="1">
        <v>4783.7</v>
      </c>
      <c r="M14" s="1">
        <v>0</v>
      </c>
      <c r="N14" s="1">
        <v>857.8</v>
      </c>
      <c r="O14" s="1">
        <v>1265</v>
      </c>
      <c r="P14" s="1">
        <v>274.4</v>
      </c>
      <c r="Q14" s="1">
        <v>0</v>
      </c>
      <c r="R14" s="1">
        <v>1421.4</v>
      </c>
      <c r="S14" s="1">
        <v>965.1</v>
      </c>
    </row>
    <row r="15" spans="1:19">
      <c r="A15" s="1" t="s">
        <v>32</v>
      </c>
      <c r="B15" s="1" t="s">
        <v>24</v>
      </c>
      <c r="C15" s="1">
        <v>18</v>
      </c>
      <c r="D15" s="1">
        <v>40</v>
      </c>
      <c r="E15" s="1">
        <v>3961.8</v>
      </c>
      <c r="F15" s="1">
        <v>-171.52</v>
      </c>
      <c r="G15" s="1">
        <v>227.43</v>
      </c>
      <c r="H15" s="1">
        <v>302.35</v>
      </c>
      <c r="I15" s="1">
        <v>0</v>
      </c>
      <c r="J15" s="1">
        <v>0</v>
      </c>
      <c r="K15" s="1">
        <v>0.14</v>
      </c>
      <c r="L15" s="1">
        <v>4320.2</v>
      </c>
      <c r="M15" s="1">
        <v>0</v>
      </c>
      <c r="N15" s="1">
        <v>406.7</v>
      </c>
      <c r="O15" s="1">
        <v>364.5</v>
      </c>
      <c r="P15" s="1">
        <v>581</v>
      </c>
      <c r="Q15" s="1">
        <v>0</v>
      </c>
      <c r="R15" s="1">
        <v>2760.1</v>
      </c>
      <c r="S15" s="1">
        <v>207.9</v>
      </c>
    </row>
    <row r="16" spans="1:19">
      <c r="A16" s="1" t="s">
        <v>33</v>
      </c>
      <c r="B16" s="1" t="s">
        <v>24</v>
      </c>
      <c r="C16" s="1">
        <v>18</v>
      </c>
      <c r="D16" s="1">
        <v>36</v>
      </c>
      <c r="E16" s="1">
        <v>3576.6</v>
      </c>
      <c r="F16" s="1">
        <v>0</v>
      </c>
      <c r="G16" s="1">
        <v>214.61</v>
      </c>
      <c r="H16" s="1">
        <v>241.32</v>
      </c>
      <c r="I16" s="1">
        <v>0</v>
      </c>
      <c r="J16" s="1">
        <v>0</v>
      </c>
      <c r="K16" s="1">
        <v>0.17</v>
      </c>
      <c r="L16" s="1">
        <v>4032.7</v>
      </c>
      <c r="M16" s="1">
        <v>0</v>
      </c>
      <c r="N16" s="1">
        <v>450.8</v>
      </c>
      <c r="O16" s="1">
        <v>859.8</v>
      </c>
      <c r="P16" s="1">
        <v>343.8</v>
      </c>
      <c r="Q16" s="1">
        <v>386.9</v>
      </c>
      <c r="R16" s="1">
        <v>1076.8</v>
      </c>
      <c r="S16" s="1">
        <v>914.6</v>
      </c>
    </row>
    <row r="17" spans="1:19">
      <c r="A17" s="1" t="s">
        <v>34</v>
      </c>
      <c r="B17" s="1" t="s">
        <v>24</v>
      </c>
      <c r="C17" s="1">
        <v>20</v>
      </c>
      <c r="D17" s="1">
        <v>68</v>
      </c>
      <c r="E17" s="1">
        <v>5668.1</v>
      </c>
      <c r="F17" s="1">
        <v>0</v>
      </c>
      <c r="G17" s="1">
        <v>340.11</v>
      </c>
      <c r="H17" s="1">
        <v>553.27</v>
      </c>
      <c r="I17" s="1">
        <v>0</v>
      </c>
      <c r="J17" s="1">
        <v>0</v>
      </c>
      <c r="K17" s="1">
        <v>0.12</v>
      </c>
      <c r="L17" s="1">
        <v>6561.6</v>
      </c>
      <c r="M17" s="1">
        <v>0</v>
      </c>
      <c r="N17" s="1">
        <v>599.2</v>
      </c>
      <c r="O17" s="1">
        <v>1370.7</v>
      </c>
      <c r="P17" s="1">
        <v>5.3</v>
      </c>
      <c r="Q17" s="1">
        <v>91.2</v>
      </c>
      <c r="R17" s="1">
        <v>1027.6</v>
      </c>
      <c r="S17" s="1">
        <v>3467.6</v>
      </c>
    </row>
    <row r="18" spans="1:19">
      <c r="A18" s="1" t="s">
        <v>35</v>
      </c>
      <c r="B18" s="1" t="s">
        <v>24</v>
      </c>
      <c r="C18" s="1">
        <v>38</v>
      </c>
      <c r="D18" s="1">
        <v>138</v>
      </c>
      <c r="E18" s="1">
        <v>10538.1</v>
      </c>
      <c r="F18" s="1">
        <v>-188.56</v>
      </c>
      <c r="G18" s="1">
        <v>620.95</v>
      </c>
      <c r="H18" s="1">
        <v>968.47</v>
      </c>
      <c r="I18" s="1">
        <v>0</v>
      </c>
      <c r="J18" s="1">
        <v>0</v>
      </c>
      <c r="K18" s="1">
        <v>0.34</v>
      </c>
      <c r="L18" s="1">
        <v>11939.3</v>
      </c>
      <c r="M18" s="1">
        <v>0</v>
      </c>
      <c r="N18" s="1">
        <v>2008.9</v>
      </c>
      <c r="O18" s="1">
        <v>4685.7</v>
      </c>
      <c r="P18" s="1">
        <v>1204.4</v>
      </c>
      <c r="Q18" s="1">
        <v>0</v>
      </c>
      <c r="R18" s="1">
        <v>2676</v>
      </c>
      <c r="S18" s="1">
        <v>1364.3</v>
      </c>
    </row>
    <row r="19" spans="1:19">
      <c r="A19" s="1" t="s">
        <v>36</v>
      </c>
      <c r="B19" s="1" t="s">
        <v>24</v>
      </c>
      <c r="C19" s="1">
        <v>29</v>
      </c>
      <c r="D19" s="1">
        <v>85</v>
      </c>
      <c r="E19" s="1">
        <v>7143.2</v>
      </c>
      <c r="F19" s="1">
        <v>-50</v>
      </c>
      <c r="G19" s="1">
        <v>425.59</v>
      </c>
      <c r="H19" s="1">
        <v>638.32</v>
      </c>
      <c r="I19" s="1">
        <v>0</v>
      </c>
      <c r="J19" s="1">
        <v>0</v>
      </c>
      <c r="K19" s="1">
        <v>-0.11</v>
      </c>
      <c r="L19" s="1">
        <v>8157</v>
      </c>
      <c r="M19" s="1">
        <v>0</v>
      </c>
      <c r="N19" s="1">
        <f>1927+531.2</f>
        <v>2458.2</v>
      </c>
      <c r="O19" s="1">
        <f>1065.6-531.2</f>
        <v>534.4</v>
      </c>
      <c r="P19" s="1">
        <v>1043.7</v>
      </c>
      <c r="Q19" s="1">
        <v>0</v>
      </c>
      <c r="R19" s="1">
        <v>623.1</v>
      </c>
      <c r="S19" s="1">
        <v>3497.6</v>
      </c>
    </row>
    <row r="20" spans="1:19">
      <c r="A20" s="1" t="s">
        <v>37</v>
      </c>
      <c r="B20" s="1" t="s">
        <v>24</v>
      </c>
      <c r="C20" s="1">
        <v>13</v>
      </c>
      <c r="D20" s="1">
        <v>31</v>
      </c>
      <c r="E20" s="1">
        <v>2509.5</v>
      </c>
      <c r="F20" s="1">
        <v>-51.69</v>
      </c>
      <c r="G20" s="1">
        <v>147.48</v>
      </c>
      <c r="H20" s="1">
        <v>214.58</v>
      </c>
      <c r="I20" s="1">
        <v>0</v>
      </c>
      <c r="J20" s="1">
        <v>0</v>
      </c>
      <c r="K20" s="1">
        <v>0.13</v>
      </c>
      <c r="L20" s="1">
        <v>2820</v>
      </c>
      <c r="M20" s="1">
        <v>0</v>
      </c>
      <c r="N20" s="1">
        <v>711</v>
      </c>
      <c r="O20" s="1">
        <v>507.2</v>
      </c>
      <c r="P20" s="1">
        <v>829.9</v>
      </c>
      <c r="Q20" s="1">
        <v>0</v>
      </c>
      <c r="R20" s="1">
        <v>478.9</v>
      </c>
      <c r="S20" s="1">
        <v>293</v>
      </c>
    </row>
    <row r="21" spans="1:19">
      <c r="A21" s="1" t="s">
        <v>38</v>
      </c>
      <c r="B21" s="1" t="s">
        <v>24</v>
      </c>
      <c r="C21" s="1">
        <v>15</v>
      </c>
      <c r="D21" s="1">
        <v>30</v>
      </c>
      <c r="E21" s="1">
        <v>2398.3</v>
      </c>
      <c r="F21" s="1">
        <v>-51.69</v>
      </c>
      <c r="G21" s="1">
        <v>140.8</v>
      </c>
      <c r="H21" s="1">
        <v>199.11</v>
      </c>
      <c r="I21" s="1">
        <v>0</v>
      </c>
      <c r="J21" s="1">
        <v>0</v>
      </c>
      <c r="K21" s="1">
        <v>-0.12</v>
      </c>
      <c r="L21" s="1">
        <v>2686.4</v>
      </c>
      <c r="M21" s="1">
        <v>0</v>
      </c>
      <c r="N21" s="1">
        <v>486.8</v>
      </c>
      <c r="O21" s="1">
        <v>163.3</v>
      </c>
      <c r="P21" s="1">
        <v>0</v>
      </c>
      <c r="Q21" s="1">
        <v>70.8</v>
      </c>
      <c r="R21" s="1">
        <v>1346.1</v>
      </c>
      <c r="S21" s="1">
        <v>619.4</v>
      </c>
    </row>
    <row r="22" spans="1:19">
      <c r="A22" s="1" t="s">
        <v>39</v>
      </c>
      <c r="B22" s="1" t="s">
        <v>24</v>
      </c>
      <c r="C22" s="1">
        <v>17</v>
      </c>
      <c r="D22" s="1">
        <v>45</v>
      </c>
      <c r="E22" s="1">
        <v>4101.4</v>
      </c>
      <c r="F22" s="1">
        <v>0</v>
      </c>
      <c r="G22" s="1">
        <v>246.1</v>
      </c>
      <c r="H22" s="1">
        <v>371.46</v>
      </c>
      <c r="I22" s="1">
        <v>0</v>
      </c>
      <c r="J22" s="1">
        <v>0</v>
      </c>
      <c r="K22" s="1">
        <v>0.14</v>
      </c>
      <c r="L22" s="1">
        <v>4719.1</v>
      </c>
      <c r="M22" s="1">
        <v>0</v>
      </c>
      <c r="N22" s="1">
        <v>168.1</v>
      </c>
      <c r="O22" s="1">
        <v>973.1</v>
      </c>
      <c r="P22" s="1">
        <v>219.1</v>
      </c>
      <c r="Q22" s="1">
        <v>0</v>
      </c>
      <c r="R22" s="1">
        <v>1232</v>
      </c>
      <c r="S22" s="1">
        <v>2126.8</v>
      </c>
    </row>
    <row r="23" spans="1:19">
      <c r="A23" s="1" t="s">
        <v>40</v>
      </c>
      <c r="B23" s="1" t="s">
        <v>24</v>
      </c>
      <c r="C23" s="1">
        <v>18</v>
      </c>
      <c r="D23" s="1">
        <v>48</v>
      </c>
      <c r="E23" s="1">
        <v>3383.8</v>
      </c>
      <c r="F23" s="1">
        <v>-3.19</v>
      </c>
      <c r="G23" s="1">
        <v>202.83</v>
      </c>
      <c r="H23" s="1">
        <v>303.62</v>
      </c>
      <c r="I23" s="1">
        <v>0</v>
      </c>
      <c r="J23" s="1">
        <v>0</v>
      </c>
      <c r="K23" s="1">
        <v>0.14</v>
      </c>
      <c r="L23" s="1">
        <v>3887.2</v>
      </c>
      <c r="M23" s="1">
        <v>0</v>
      </c>
      <c r="N23" s="1">
        <v>620.6</v>
      </c>
      <c r="O23" s="1">
        <v>564.2</v>
      </c>
      <c r="P23" s="1">
        <v>344.9</v>
      </c>
      <c r="Q23" s="1">
        <v>0</v>
      </c>
      <c r="R23" s="1">
        <v>936.6</v>
      </c>
      <c r="S23" s="1">
        <v>1420.9</v>
      </c>
    </row>
    <row r="24" spans="1:19">
      <c r="A24" s="1" t="s">
        <v>41</v>
      </c>
      <c r="B24" s="1" t="s">
        <v>24</v>
      </c>
      <c r="C24" s="1">
        <v>19</v>
      </c>
      <c r="D24" s="1">
        <v>51</v>
      </c>
      <c r="E24" s="1">
        <v>4796.8</v>
      </c>
      <c r="F24" s="1">
        <v>-50</v>
      </c>
      <c r="G24" s="1">
        <v>284.82</v>
      </c>
      <c r="H24" s="1">
        <v>334.59</v>
      </c>
      <c r="I24" s="1">
        <v>0</v>
      </c>
      <c r="J24" s="1">
        <v>0</v>
      </c>
      <c r="K24" s="1">
        <v>-0.01</v>
      </c>
      <c r="L24" s="1">
        <v>5366.2</v>
      </c>
      <c r="M24" s="1">
        <v>0</v>
      </c>
      <c r="N24" s="1">
        <v>1231.1</v>
      </c>
      <c r="O24" s="1">
        <v>966.8</v>
      </c>
      <c r="P24" s="1">
        <v>528.7</v>
      </c>
      <c r="Q24" s="1">
        <v>103.9</v>
      </c>
      <c r="R24" s="1">
        <v>1153</v>
      </c>
      <c r="S24" s="1">
        <v>1382.7</v>
      </c>
    </row>
    <row r="25" spans="1:19">
      <c r="A25" s="1" t="s">
        <v>42</v>
      </c>
      <c r="B25" s="1" t="s">
        <v>24</v>
      </c>
      <c r="C25" s="1">
        <v>42</v>
      </c>
      <c r="D25" s="1">
        <v>173</v>
      </c>
      <c r="E25" s="1">
        <v>14648.8</v>
      </c>
      <c r="F25" s="1">
        <v>-95.92</v>
      </c>
      <c r="G25" s="1">
        <v>873.17</v>
      </c>
      <c r="H25" s="1">
        <v>1431.21</v>
      </c>
      <c r="I25" s="1">
        <v>0</v>
      </c>
      <c r="J25" s="1">
        <v>0</v>
      </c>
      <c r="K25" s="1">
        <v>0.44</v>
      </c>
      <c r="L25" s="1">
        <v>16857.7</v>
      </c>
      <c r="M25" s="1">
        <v>0</v>
      </c>
      <c r="N25" s="1">
        <v>2662.2</v>
      </c>
      <c r="O25" s="1">
        <v>5532.2</v>
      </c>
      <c r="P25" s="1">
        <v>961.2</v>
      </c>
      <c r="Q25" s="1">
        <v>79.6</v>
      </c>
      <c r="R25" s="1">
        <v>2417.2</v>
      </c>
      <c r="S25" s="1">
        <v>5205.3</v>
      </c>
    </row>
    <row r="26" spans="1:19">
      <c r="A26" s="1" t="s">
        <v>43</v>
      </c>
      <c r="B26" s="1" t="s">
        <v>24</v>
      </c>
      <c r="C26" s="1">
        <v>26</v>
      </c>
      <c r="D26" s="1">
        <v>59</v>
      </c>
      <c r="E26" s="1">
        <v>4729.7</v>
      </c>
      <c r="F26" s="1">
        <v>-70.54</v>
      </c>
      <c r="G26" s="1">
        <v>279.55</v>
      </c>
      <c r="H26" s="1">
        <v>429.01</v>
      </c>
      <c r="I26" s="1">
        <v>0</v>
      </c>
      <c r="J26" s="1">
        <v>0</v>
      </c>
      <c r="K26" s="1">
        <v>0.28</v>
      </c>
      <c r="L26" s="1">
        <v>5368</v>
      </c>
      <c r="M26" s="1">
        <v>0</v>
      </c>
      <c r="N26" s="1">
        <v>212.7</v>
      </c>
      <c r="O26" s="1">
        <v>1731.2</v>
      </c>
      <c r="P26" s="1">
        <v>533.4</v>
      </c>
      <c r="Q26" s="1">
        <v>0</v>
      </c>
      <c r="R26" s="1">
        <v>571.2</v>
      </c>
      <c r="S26" s="1">
        <v>2319.5</v>
      </c>
    </row>
    <row r="27" spans="1:19">
      <c r="A27" s="1" t="s">
        <v>44</v>
      </c>
      <c r="B27" s="1" t="s">
        <v>24</v>
      </c>
      <c r="C27" s="1">
        <v>14</v>
      </c>
      <c r="D27" s="1">
        <v>45</v>
      </c>
      <c r="E27" s="1">
        <v>3221.2</v>
      </c>
      <c r="F27" s="1">
        <v>-50</v>
      </c>
      <c r="G27" s="1">
        <v>190.27</v>
      </c>
      <c r="H27" s="1">
        <v>281.95</v>
      </c>
      <c r="I27" s="1">
        <v>0</v>
      </c>
      <c r="J27" s="1">
        <v>0</v>
      </c>
      <c r="K27" s="1">
        <v>0.28</v>
      </c>
      <c r="L27" s="1">
        <v>3643.7</v>
      </c>
      <c r="M27" s="1">
        <v>0</v>
      </c>
      <c r="N27" s="1">
        <v>466.8</v>
      </c>
      <c r="O27" s="1">
        <v>669.4</v>
      </c>
      <c r="P27" s="1">
        <v>0</v>
      </c>
      <c r="Q27" s="1">
        <v>0</v>
      </c>
      <c r="R27" s="1">
        <v>718.4</v>
      </c>
      <c r="S27" s="1">
        <v>1789.1</v>
      </c>
    </row>
    <row r="28" spans="1:19">
      <c r="A28" s="1" t="s">
        <v>45</v>
      </c>
      <c r="B28" s="1" t="s">
        <v>24</v>
      </c>
      <c r="C28" s="1">
        <v>19</v>
      </c>
      <c r="D28" s="1">
        <v>50</v>
      </c>
      <c r="E28" s="1">
        <v>3976.6</v>
      </c>
      <c r="F28" s="1">
        <v>-1.78</v>
      </c>
      <c r="G28" s="1">
        <v>238.5</v>
      </c>
      <c r="H28" s="1">
        <v>369.03</v>
      </c>
      <c r="I28" s="1">
        <v>0</v>
      </c>
      <c r="J28" s="1">
        <v>0</v>
      </c>
      <c r="K28" s="1">
        <v>-0.05</v>
      </c>
      <c r="L28" s="1">
        <v>4582.3</v>
      </c>
      <c r="M28" s="1">
        <v>0</v>
      </c>
      <c r="N28" s="1">
        <v>800</v>
      </c>
      <c r="O28" s="1">
        <v>0</v>
      </c>
      <c r="P28" s="1">
        <v>1961.6</v>
      </c>
      <c r="Q28" s="1">
        <v>0</v>
      </c>
      <c r="R28" s="1">
        <v>361</v>
      </c>
      <c r="S28" s="1">
        <v>1459.7</v>
      </c>
    </row>
    <row r="29" spans="1:19">
      <c r="A29" s="1" t="s">
        <v>46</v>
      </c>
      <c r="B29" s="1" t="s">
        <v>24</v>
      </c>
      <c r="C29" s="1">
        <v>13</v>
      </c>
      <c r="D29" s="1">
        <v>29</v>
      </c>
      <c r="E29" s="1">
        <v>2211.9</v>
      </c>
      <c r="F29" s="1">
        <v>0</v>
      </c>
      <c r="G29" s="1">
        <v>132.72</v>
      </c>
      <c r="H29" s="1">
        <v>216.05</v>
      </c>
      <c r="I29" s="1">
        <v>0</v>
      </c>
      <c r="J29" s="1">
        <v>0</v>
      </c>
      <c r="K29" s="1">
        <v>0.03</v>
      </c>
      <c r="L29" s="1">
        <v>2560.7</v>
      </c>
      <c r="M29" s="1">
        <v>0</v>
      </c>
      <c r="N29" s="1">
        <v>640.8</v>
      </c>
      <c r="O29" s="1">
        <v>0</v>
      </c>
      <c r="P29" s="1">
        <v>626.6</v>
      </c>
      <c r="Q29" s="1">
        <v>0</v>
      </c>
      <c r="R29" s="1">
        <v>0</v>
      </c>
      <c r="S29" s="1">
        <v>1293.3</v>
      </c>
    </row>
    <row r="30" spans="1:19">
      <c r="A30" s="1" t="s">
        <v>47</v>
      </c>
      <c r="B30" s="1" t="s">
        <v>24</v>
      </c>
      <c r="C30" s="1">
        <v>15</v>
      </c>
      <c r="D30" s="1">
        <v>54</v>
      </c>
      <c r="E30" s="1">
        <v>4621.84</v>
      </c>
      <c r="F30" s="1">
        <v>-50</v>
      </c>
      <c r="G30" s="1">
        <v>274.33</v>
      </c>
      <c r="H30" s="1">
        <v>435.38</v>
      </c>
      <c r="I30" s="1">
        <v>0</v>
      </c>
      <c r="J30" s="1">
        <v>0</v>
      </c>
      <c r="K30" s="1">
        <v>-0.05</v>
      </c>
      <c r="L30" s="1">
        <v>5281.5</v>
      </c>
      <c r="M30" s="1">
        <v>0</v>
      </c>
      <c r="N30" s="1">
        <v>382.6</v>
      </c>
      <c r="O30" s="1">
        <v>1166</v>
      </c>
      <c r="P30" s="1">
        <v>815.2</v>
      </c>
      <c r="Q30" s="1">
        <v>0</v>
      </c>
      <c r="R30" s="1">
        <v>2438.2</v>
      </c>
      <c r="S30" s="1">
        <v>479.5</v>
      </c>
    </row>
    <row r="31" spans="1:19">
      <c r="A31" s="1" t="s">
        <v>48</v>
      </c>
      <c r="B31" s="1" t="s">
        <v>24</v>
      </c>
      <c r="C31" s="1">
        <v>19</v>
      </c>
      <c r="D31" s="1">
        <v>42</v>
      </c>
      <c r="E31" s="1">
        <v>4771.78</v>
      </c>
      <c r="F31" s="1">
        <v>0</v>
      </c>
      <c r="G31" s="1">
        <v>286.3</v>
      </c>
      <c r="H31" s="1">
        <v>354.08</v>
      </c>
      <c r="I31" s="1">
        <v>0</v>
      </c>
      <c r="J31" s="1">
        <v>0</v>
      </c>
      <c r="K31" s="1">
        <v>0.04</v>
      </c>
      <c r="L31" s="1">
        <v>5412.2</v>
      </c>
      <c r="M31" s="1">
        <v>385.4</v>
      </c>
      <c r="N31" s="1">
        <v>1973.7</v>
      </c>
      <c r="O31" s="1">
        <v>1209</v>
      </c>
      <c r="P31" s="1">
        <v>267.1</v>
      </c>
      <c r="Q31" s="1">
        <v>0</v>
      </c>
      <c r="R31" s="1">
        <v>1063.2</v>
      </c>
      <c r="S31" s="1">
        <v>513.8</v>
      </c>
    </row>
    <row r="32" spans="1:19">
      <c r="A32" s="1" t="s">
        <v>49</v>
      </c>
      <c r="B32" s="1" t="s">
        <v>24</v>
      </c>
      <c r="C32" s="1">
        <v>41</v>
      </c>
      <c r="D32" s="1">
        <v>177</v>
      </c>
      <c r="E32" s="1">
        <v>11019.62</v>
      </c>
      <c r="F32" s="1">
        <v>-51.69</v>
      </c>
      <c r="G32" s="1">
        <v>658.06</v>
      </c>
      <c r="H32" s="1">
        <v>1025.81</v>
      </c>
      <c r="I32" s="1">
        <v>0</v>
      </c>
      <c r="J32" s="1">
        <v>0</v>
      </c>
      <c r="K32" s="1">
        <v>0</v>
      </c>
      <c r="L32" s="1">
        <v>12651.8</v>
      </c>
      <c r="M32" s="1">
        <v>224.9</v>
      </c>
      <c r="N32" s="1">
        <v>3063.7</v>
      </c>
      <c r="O32" s="1">
        <v>4448</v>
      </c>
      <c r="P32" s="1">
        <v>249.9</v>
      </c>
      <c r="Q32" s="1">
        <v>0</v>
      </c>
      <c r="R32" s="1">
        <v>1739.8</v>
      </c>
      <c r="S32" s="1">
        <v>2925.5</v>
      </c>
    </row>
    <row r="33" spans="1:19">
      <c r="A33" s="1" t="s">
        <v>50</v>
      </c>
      <c r="B33" s="1" t="s">
        <v>24</v>
      </c>
      <c r="C33" s="1">
        <v>27</v>
      </c>
      <c r="D33" s="1">
        <v>79</v>
      </c>
      <c r="E33" s="1">
        <v>6418.6</v>
      </c>
      <c r="F33" s="1">
        <v>-50</v>
      </c>
      <c r="G33" s="1">
        <v>382.1</v>
      </c>
      <c r="H33" s="1">
        <v>569.87</v>
      </c>
      <c r="I33" s="1">
        <v>0</v>
      </c>
      <c r="J33" s="1">
        <v>0</v>
      </c>
      <c r="K33" s="1">
        <v>0.23</v>
      </c>
      <c r="L33" s="1">
        <v>7320.8</v>
      </c>
      <c r="M33" s="1">
        <v>0</v>
      </c>
      <c r="N33" s="1">
        <v>1803.2</v>
      </c>
      <c r="O33" s="1">
        <v>589.4</v>
      </c>
      <c r="P33" s="1">
        <v>322.9</v>
      </c>
      <c r="Q33" s="1">
        <v>212</v>
      </c>
      <c r="R33" s="1">
        <v>338.7</v>
      </c>
      <c r="S33" s="1">
        <v>4054.6</v>
      </c>
    </row>
    <row r="34" spans="1:19">
      <c r="A34" s="1" t="s">
        <v>51</v>
      </c>
      <c r="B34" s="1" t="s">
        <v>24</v>
      </c>
      <c r="C34" s="1">
        <v>14</v>
      </c>
      <c r="D34" s="1">
        <v>28</v>
      </c>
      <c r="E34" s="1">
        <v>2000.5</v>
      </c>
      <c r="F34" s="1">
        <v>-51.69</v>
      </c>
      <c r="G34" s="1">
        <v>116.94</v>
      </c>
      <c r="H34" s="1">
        <v>165.68</v>
      </c>
      <c r="I34" s="1">
        <v>0</v>
      </c>
      <c r="J34" s="1">
        <v>0</v>
      </c>
      <c r="K34" s="1">
        <v>0.07</v>
      </c>
      <c r="L34" s="1">
        <v>2231.5</v>
      </c>
      <c r="M34" s="1">
        <v>0</v>
      </c>
      <c r="N34" s="1">
        <v>429.8</v>
      </c>
      <c r="O34" s="1">
        <v>496.9</v>
      </c>
      <c r="P34" s="1">
        <v>375</v>
      </c>
      <c r="Q34" s="1">
        <v>248</v>
      </c>
      <c r="R34" s="1">
        <v>275.9</v>
      </c>
      <c r="S34" s="1">
        <v>405.9</v>
      </c>
    </row>
    <row r="35" spans="1:19">
      <c r="A35" s="1" t="s">
        <v>52</v>
      </c>
      <c r="B35" s="1" t="s">
        <v>24</v>
      </c>
      <c r="C35" s="1">
        <v>17</v>
      </c>
      <c r="D35" s="1">
        <v>50</v>
      </c>
      <c r="E35" s="1">
        <v>3149.98</v>
      </c>
      <c r="F35" s="1">
        <v>0</v>
      </c>
      <c r="G35" s="1">
        <v>189.01</v>
      </c>
      <c r="H35" s="1">
        <v>313.52</v>
      </c>
      <c r="I35" s="1">
        <v>0</v>
      </c>
      <c r="J35" s="1">
        <v>0</v>
      </c>
      <c r="K35" s="1">
        <v>0.29</v>
      </c>
      <c r="L35" s="1">
        <v>3652.8</v>
      </c>
      <c r="M35" s="1">
        <v>0</v>
      </c>
      <c r="N35" s="1">
        <v>2254.4</v>
      </c>
      <c r="O35" s="1">
        <v>0</v>
      </c>
      <c r="P35" s="1">
        <v>487.6</v>
      </c>
      <c r="Q35" s="1">
        <v>0</v>
      </c>
      <c r="R35" s="1">
        <v>355.4</v>
      </c>
      <c r="S35" s="1">
        <v>555.4</v>
      </c>
    </row>
    <row r="36" spans="1:19">
      <c r="A36" s="1" t="s">
        <v>53</v>
      </c>
      <c r="B36" s="1" t="s">
        <v>24</v>
      </c>
      <c r="C36" s="1">
        <v>20</v>
      </c>
      <c r="D36" s="1">
        <v>49</v>
      </c>
      <c r="E36" s="1">
        <v>4017.78</v>
      </c>
      <c r="F36" s="1">
        <v>-167.8</v>
      </c>
      <c r="G36" s="1">
        <v>231.01</v>
      </c>
      <c r="H36" s="1">
        <v>324.2</v>
      </c>
      <c r="I36" s="1">
        <v>0</v>
      </c>
      <c r="J36" s="1">
        <v>0</v>
      </c>
      <c r="K36" s="1">
        <v>0.21</v>
      </c>
      <c r="L36" s="1">
        <v>4405.4</v>
      </c>
      <c r="M36" s="1">
        <v>120.2</v>
      </c>
      <c r="N36" s="1">
        <v>665.4</v>
      </c>
      <c r="O36" s="1">
        <v>773.3</v>
      </c>
      <c r="P36" s="1">
        <v>516.2</v>
      </c>
      <c r="Q36" s="1">
        <v>0</v>
      </c>
      <c r="R36" s="1">
        <v>1054.4</v>
      </c>
      <c r="S36" s="1">
        <v>1275.9</v>
      </c>
    </row>
    <row r="37" spans="1:19">
      <c r="A37" s="1" t="s">
        <v>54</v>
      </c>
      <c r="B37" s="1" t="s">
        <v>24</v>
      </c>
      <c r="C37" s="1">
        <v>22</v>
      </c>
      <c r="D37" s="1">
        <v>54</v>
      </c>
      <c r="E37" s="1">
        <v>3657</v>
      </c>
      <c r="F37" s="1">
        <v>-25.83</v>
      </c>
      <c r="G37" s="1">
        <v>217.88</v>
      </c>
      <c r="H37" s="1">
        <v>346.02</v>
      </c>
      <c r="I37" s="1">
        <v>0</v>
      </c>
      <c r="J37" s="1">
        <v>0</v>
      </c>
      <c r="K37" s="1">
        <v>0.13</v>
      </c>
      <c r="L37" s="1">
        <v>4195.2</v>
      </c>
      <c r="M37" s="1">
        <v>0</v>
      </c>
      <c r="N37" s="1">
        <v>1322.9</v>
      </c>
      <c r="O37" s="1">
        <v>1554.5</v>
      </c>
      <c r="P37" s="1">
        <v>153.8</v>
      </c>
      <c r="Q37" s="1">
        <v>0</v>
      </c>
      <c r="R37" s="1">
        <v>77.4</v>
      </c>
      <c r="S37" s="1">
        <v>1086.6</v>
      </c>
    </row>
    <row r="38" spans="1:19">
      <c r="A38" s="3" t="s">
        <v>55</v>
      </c>
      <c r="B38" s="3" t="s">
        <v>55</v>
      </c>
      <c r="C38" s="3">
        <f>SUM(C7:C37)</f>
        <v>666</v>
      </c>
      <c r="D38" s="3">
        <f t="shared" ref="D38:F38" si="0">SUM(D7:D37)</f>
        <v>2068</v>
      </c>
      <c r="E38" s="3">
        <f t="shared" si="0"/>
        <v>155516.42</v>
      </c>
      <c r="F38" s="3">
        <f t="shared" si="0"/>
        <v>-1802.29</v>
      </c>
      <c r="G38" s="3">
        <f t="shared" ref="G38:H38" si="1">SUM(G7:G37)</f>
        <v>9223.03</v>
      </c>
      <c r="H38" s="3">
        <f t="shared" si="1"/>
        <v>13900.14</v>
      </c>
      <c r="I38" s="3">
        <f t="shared" ref="I38" si="2">SUM(I7:I37)</f>
        <v>0</v>
      </c>
      <c r="J38" s="3">
        <f t="shared" ref="J38:L38" si="3">SUM(J7:J37)</f>
        <v>0</v>
      </c>
      <c r="K38" s="3">
        <f t="shared" si="3"/>
        <v>3.6</v>
      </c>
      <c r="L38" s="3">
        <f t="shared" si="3"/>
        <v>176840.9</v>
      </c>
      <c r="M38" s="3">
        <f t="shared" ref="M38" si="4">SUM(M7:M37)</f>
        <v>1311.8</v>
      </c>
      <c r="N38" s="3">
        <f t="shared" ref="N38:O38" si="5">SUM(N7:N37)</f>
        <v>33864.1</v>
      </c>
      <c r="O38" s="3">
        <f t="shared" si="5"/>
        <v>41101.5</v>
      </c>
      <c r="P38" s="3">
        <f t="shared" ref="P38:Q38" si="6">SUM(P7:P37)</f>
        <v>15855.5</v>
      </c>
      <c r="Q38" s="3">
        <f t="shared" si="6"/>
        <v>1457.4</v>
      </c>
      <c r="R38" s="3">
        <f t="shared" ref="R38" si="7">SUM(R7:R37)</f>
        <v>34315.5</v>
      </c>
      <c r="S38" s="3">
        <f t="shared" ref="S38" si="8">SUM(S7:S37)</f>
        <v>48935.1</v>
      </c>
    </row>
    <row r="39" spans="20:20">
      <c r="T39" s="1"/>
    </row>
    <row r="40" spans="13:20">
      <c r="M40" s="4"/>
      <c r="N40" s="5">
        <v>48935.1</v>
      </c>
      <c r="O40" s="5">
        <v>41101.5</v>
      </c>
      <c r="P40" s="5">
        <v>15855.5</v>
      </c>
      <c r="Q40" s="5"/>
      <c r="R40" s="5"/>
      <c r="S40" s="16">
        <f>SUM(N40:R40)</f>
        <v>105892.1</v>
      </c>
      <c r="T40" s="17"/>
    </row>
    <row r="41" spans="13:20">
      <c r="M41" s="4" t="s">
        <v>56</v>
      </c>
      <c r="N41" s="4" t="s">
        <v>57</v>
      </c>
      <c r="O41" s="4" t="s">
        <v>58</v>
      </c>
      <c r="P41" s="4" t="s">
        <v>59</v>
      </c>
      <c r="Q41" s="4" t="s">
        <v>60</v>
      </c>
      <c r="R41" s="4" t="s">
        <v>61</v>
      </c>
      <c r="S41" s="4" t="s">
        <v>62</v>
      </c>
      <c r="T41" s="18">
        <f>O38+P38+S38</f>
        <v>105892.1</v>
      </c>
    </row>
    <row r="42" spans="13:20">
      <c r="M42" s="6"/>
      <c r="N42" s="6"/>
      <c r="O42" s="6"/>
      <c r="P42" s="6"/>
      <c r="Q42" s="6"/>
      <c r="R42" s="6"/>
      <c r="S42" s="6"/>
      <c r="T42" s="6"/>
    </row>
    <row r="43" ht="20.4" spans="13:20">
      <c r="M43" s="7" t="s">
        <v>16</v>
      </c>
      <c r="N43" s="7"/>
      <c r="O43" s="7"/>
      <c r="P43" s="7"/>
      <c r="Q43" s="6"/>
      <c r="R43" s="19"/>
      <c r="S43" s="19"/>
      <c r="T43" s="19"/>
    </row>
    <row r="44" ht="41" spans="13:20">
      <c r="M44" s="8" t="s">
        <v>63</v>
      </c>
      <c r="N44" s="9" t="s">
        <v>64</v>
      </c>
      <c r="O44" s="8" t="s">
        <v>65</v>
      </c>
      <c r="P44" s="4" t="s">
        <v>66</v>
      </c>
      <c r="Q44" s="6"/>
      <c r="R44" s="19"/>
      <c r="S44" s="19"/>
      <c r="T44" s="19"/>
    </row>
    <row r="45" spans="13:20">
      <c r="M45" s="10" t="s">
        <v>67</v>
      </c>
      <c r="N45" s="4">
        <v>581.3</v>
      </c>
      <c r="O45" s="4">
        <v>572.58</v>
      </c>
      <c r="P45" s="11">
        <f>N45-O45</f>
        <v>8.71999999999991</v>
      </c>
      <c r="Q45" s="6"/>
      <c r="R45" s="19"/>
      <c r="S45" s="19"/>
      <c r="T45" s="19"/>
    </row>
    <row r="46" spans="13:20">
      <c r="M46" s="10" t="s">
        <v>68</v>
      </c>
      <c r="N46" s="12">
        <v>385.4</v>
      </c>
      <c r="O46" s="4"/>
      <c r="P46" s="11">
        <f>N46-O46</f>
        <v>385.4</v>
      </c>
      <c r="Q46" s="6"/>
      <c r="R46" s="19"/>
      <c r="S46" s="19"/>
      <c r="T46" s="19"/>
    </row>
    <row r="47" spans="13:20">
      <c r="M47" s="10" t="s">
        <v>69</v>
      </c>
      <c r="N47" s="13">
        <v>224.9</v>
      </c>
      <c r="O47" s="13">
        <v>601.6</v>
      </c>
      <c r="P47" s="11">
        <f t="shared" ref="P47:P52" si="9">N47-O47</f>
        <v>-376.7</v>
      </c>
      <c r="Q47" s="6"/>
      <c r="R47" s="19"/>
      <c r="S47" s="19"/>
      <c r="T47" s="19"/>
    </row>
    <row r="48" spans="13:20">
      <c r="M48" s="10" t="s">
        <v>70</v>
      </c>
      <c r="N48" s="4">
        <v>120.2</v>
      </c>
      <c r="O48" s="4">
        <v>118.64</v>
      </c>
      <c r="P48" s="11">
        <f t="shared" si="9"/>
        <v>1.56</v>
      </c>
      <c r="Q48" s="6"/>
      <c r="R48" s="19"/>
      <c r="S48" s="19"/>
      <c r="T48" s="19"/>
    </row>
    <row r="49" spans="13:20">
      <c r="M49" s="4"/>
      <c r="N49" s="4"/>
      <c r="O49" s="4"/>
      <c r="P49" s="11">
        <f t="shared" si="9"/>
        <v>0</v>
      </c>
      <c r="Q49" s="6"/>
      <c r="R49" s="19"/>
      <c r="S49" s="19"/>
      <c r="T49" s="19"/>
    </row>
    <row r="50" spans="13:20">
      <c r="M50" s="4"/>
      <c r="N50" s="4"/>
      <c r="O50" s="4"/>
      <c r="P50" s="11">
        <f t="shared" si="9"/>
        <v>0</v>
      </c>
      <c r="Q50" s="6"/>
      <c r="R50" s="19"/>
      <c r="S50" s="19"/>
      <c r="T50" s="19"/>
    </row>
    <row r="51" spans="13:20">
      <c r="M51" s="4"/>
      <c r="N51" s="4"/>
      <c r="O51" s="4"/>
      <c r="P51" s="11">
        <f t="shared" si="9"/>
        <v>0</v>
      </c>
      <c r="Q51" s="6"/>
      <c r="R51" s="19"/>
      <c r="S51" s="19"/>
      <c r="T51" s="19"/>
    </row>
    <row r="52" spans="13:20">
      <c r="M52" s="4"/>
      <c r="N52" s="4"/>
      <c r="O52" s="4"/>
      <c r="P52" s="11">
        <f t="shared" si="9"/>
        <v>0</v>
      </c>
      <c r="Q52" s="6"/>
      <c r="R52" s="19"/>
      <c r="S52" s="19"/>
      <c r="T52" s="19"/>
    </row>
    <row r="53" spans="13:20">
      <c r="M53" s="14" t="s">
        <v>62</v>
      </c>
      <c r="N53" s="15">
        <f>SUM(N45:N52)</f>
        <v>1311.8</v>
      </c>
      <c r="O53" s="15">
        <f>SUM(O45:O52)</f>
        <v>1292.82</v>
      </c>
      <c r="P53" s="15">
        <f>SUM(P45:P52)</f>
        <v>18.9799999999998</v>
      </c>
      <c r="Q53" s="6"/>
      <c r="R53" s="19"/>
      <c r="S53" s="19"/>
      <c r="T53" s="19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 (2)</vt:lpstr>
      <vt:lpstr>1.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jarvischu</cp:lastModifiedBy>
  <dcterms:created xsi:type="dcterms:W3CDTF">2025-08-04T15:06:00Z</dcterms:created>
  <dcterms:modified xsi:type="dcterms:W3CDTF">2026-02-09T18:01:03Z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E27D02FDF01AF6EDCC9989694B58F353_42</vt:lpwstr>
  </property>
</Properties>
</file>