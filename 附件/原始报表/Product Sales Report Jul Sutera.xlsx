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161" documentId="11_7CFEB909C41C4E684146CE6C49B2C6684CB5B520" xr6:coauthVersionLast="47" xr6:coauthVersionMax="47" xr10:uidLastSave="{241FD64D-8F4D-4384-9C0A-089F3EB83053}"/>
  <bookViews>
    <workbookView xWindow="-103" yWindow="-103" windowWidth="24892" windowHeight="14914" xr2:uid="{00000000-000D-0000-FFFF-FFFF00000000}"/>
  </bookViews>
  <sheets>
    <sheet name="1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N368" i="1"/>
  <c r="N367" i="1"/>
  <c r="M9" i="1" l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1" i="1"/>
  <c r="M32" i="1"/>
  <c r="M33" i="1"/>
  <c r="M34" i="1"/>
  <c r="M35" i="1"/>
  <c r="M36" i="1"/>
  <c r="M37" i="1"/>
  <c r="M38" i="1"/>
  <c r="M39" i="1"/>
  <c r="M40" i="1"/>
  <c r="M42" i="1"/>
  <c r="M43" i="1"/>
  <c r="M45" i="1"/>
  <c r="M46" i="1"/>
  <c r="M47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4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8" i="1"/>
</calcChain>
</file>

<file path=xl/sharedStrings.xml><?xml version="1.0" encoding="utf-8"?>
<sst xmlns="http://schemas.openxmlformats.org/spreadsheetml/2006/main" count="1712" uniqueCount="331">
  <si>
    <t>Product Sales</t>
  </si>
  <si>
    <t>Date: 01/07/2025 - 31/07/2025</t>
  </si>
  <si>
    <t>Time: 00:00 - 23:59</t>
  </si>
  <si>
    <t>Merchant: FEI FEI CRAB HOUSE SDN BHD (SUTERA)</t>
  </si>
  <si>
    <t>Generated by: 10 Dec 2025, 12:59 PM (UTC+08:00)</t>
  </si>
  <si>
    <t>Category</t>
  </si>
  <si>
    <t>Name</t>
  </si>
  <si>
    <t>Variant</t>
  </si>
  <si>
    <t>Code</t>
  </si>
  <si>
    <t>Qty</t>
  </si>
  <si>
    <t>Gross</t>
  </si>
  <si>
    <t>Bill discount</t>
  </si>
  <si>
    <t>Item discount</t>
  </si>
  <si>
    <t>SST</t>
  </si>
  <si>
    <t>SC</t>
  </si>
  <si>
    <t>Nett</t>
  </si>
  <si>
    <t/>
  </si>
  <si>
    <t>JUMBO 超级个人午餐配套</t>
  </si>
  <si>
    <t>Carbonara 芝士虾羔饭 + 荷包蛋 Cheesy Carbonara With Mantis Prawn Rice + Fried Egg</t>
  </si>
  <si>
    <t>Carbonara 芝士虾羔饭 Cheesy Carbonara With Mantis Prawn Rice</t>
  </si>
  <si>
    <t>大虾焖香港伊面 Braised Hong kong Yee Mee With Tiger Prawn</t>
  </si>
  <si>
    <t>干炒皇帝面 Stir Fried Shang Mee</t>
  </si>
  <si>
    <t>果汁菠萝咕噜肉饭 + 荷包蛋 Pineapple Sweet &amp; Sour Pork Rice + Fried Egg</t>
  </si>
  <si>
    <t>肥肥海鲜鸡粒炒饭 + 荷包蛋 Signature Seafood &amp; Diced Chicken Fried Rice + Fried Egg</t>
  </si>
  <si>
    <t>葡京排骨蛋炒饭 + 荷包蛋 Thai Salad Pork Ribs With Egg Fried Rice + Fried Egg</t>
  </si>
  <si>
    <t>葡京排骨蛋炒饭 Thai Salad Pork Ribs With Egg Fried Rice</t>
  </si>
  <si>
    <t>西式麻辣鸡柳蛋炒饭 + 荷包蛋 Western Style Mala Salad With Egg Fried Rice + Fried Egg</t>
  </si>
  <si>
    <t>Other</t>
  </si>
  <si>
    <t>carlsberg 罐</t>
  </si>
  <si>
    <t>Custom Item鸳鸯苏东</t>
  </si>
  <si>
    <t>tiger</t>
  </si>
  <si>
    <t>啦啦炒米粉</t>
  </si>
  <si>
    <t>新加坡辣椒酱</t>
  </si>
  <si>
    <t>清炒四大天王</t>
  </si>
  <si>
    <t>空蛋</t>
  </si>
  <si>
    <t>空蛋 kosong 煎蛋</t>
  </si>
  <si>
    <t>买蟹送虾 Buy Crab Free Prawn</t>
  </si>
  <si>
    <t>啦啦 (小) (FOC) Lala</t>
  </si>
  <si>
    <t>姜蒜辣椒仔蒸扇贝 (4粒) (FOC) Ginger Garlic Steamed Scallop</t>
  </si>
  <si>
    <t xml:space="preserve">老虎虾 (小) (FOC) Tiger Prawn </t>
  </si>
  <si>
    <t>佛砵飘香 YAM BASKET</t>
  </si>
  <si>
    <t>佛砵咕噜肉 Sweet &amp; Sour Pork with Yambasket</t>
  </si>
  <si>
    <t>佛砵宫保虾羔 Gong Po Mantis Prawn with Yambasket</t>
  </si>
  <si>
    <t>佛砵意大利虾球
 Italian Sauce Shrimp Ball with Yambasket</t>
  </si>
  <si>
    <t>火山VS火山 Marmite &amp; Pu-Jing Diced Chicken with Yambasket</t>
  </si>
  <si>
    <t>火山爆发
 Pu-Jing Diced Chicken with Yambasket</t>
  </si>
  <si>
    <t>火山爆发碰倒泄箩鸡 Sze Chuan Diced Chic &amp; Pu-Jing Diced Chic with Yambasket</t>
  </si>
  <si>
    <t>突破 2012 Trio Peanuts Ribs &amp; Pu-Jing Diced Chicken with Yambasket</t>
  </si>
  <si>
    <t>其他 Other</t>
  </si>
  <si>
    <t>Dking 猫山王榴莲雪糕 Musang King Ice Cream</t>
  </si>
  <si>
    <t>FOC</t>
  </si>
  <si>
    <t>O/P</t>
  </si>
  <si>
    <t>凡消费满RM600 即可购买燕窝礼盒(特价)</t>
  </si>
  <si>
    <t>凡消费满RM1200 赠送燕窝礼盒</t>
  </si>
  <si>
    <t>白饭 Rice</t>
  </si>
  <si>
    <t>螃蟹夹子工具 Crab Claw Cracker Tool</t>
  </si>
  <si>
    <t>辣脆花生米 Spicy Crispy Nut (盘)</t>
  </si>
  <si>
    <t>香脆番石榴 Guava (盘)</t>
  </si>
  <si>
    <t>单座面类 SINGLE MEAL NOODLE</t>
  </si>
  <si>
    <t>干炒河 Fried Kuey Teow</t>
  </si>
  <si>
    <t>干炒生面
 Stir Fried Shang Mee</t>
  </si>
  <si>
    <t>广府伊面 Cantonese Yee Mee</t>
  </si>
  <si>
    <t>广府鸳鸯 Cantonese Yuen Yong Noodle</t>
  </si>
  <si>
    <t>星洲米 Singapore Style Mee Hoon</t>
  </si>
  <si>
    <t>江南煎生面 Gangnam Style Noodle</t>
  </si>
  <si>
    <t>滑蛋河 Wa Dan Hor</t>
  </si>
  <si>
    <t>焖伊面 Braised Yee Mee</t>
  </si>
  <si>
    <t>长寿面 Longevity Noodles</t>
  </si>
  <si>
    <t>小(S)</t>
  </si>
  <si>
    <t>单座饭类 SINGLE MEAL RICE</t>
  </si>
  <si>
    <t>咕噜肉饭 Sweet &amp; Sour Pork Rice</t>
  </si>
  <si>
    <t>姜葱猪肉饭 Ginger Onion Pork Rice</t>
  </si>
  <si>
    <t>姜葱鸡丁饭 Ginger Onion Diced Chicken Rice</t>
  </si>
  <si>
    <t>宫保猪肉饭 Gong Po Sliced Meat Rice</t>
  </si>
  <si>
    <t>宫保虾羔饭 Gong Po Mantis Prawn Rice</t>
  </si>
  <si>
    <t>宫保鸡丁饭 Gong Po Diced Chicken Rice</t>
  </si>
  <si>
    <t>扬州炒饭 Yang Zhou Fried Rice</t>
  </si>
  <si>
    <t>海鲜炒饭 Seafood Fried Rice</t>
  </si>
  <si>
    <t>湿奶油虾羔饭 Creamy Butter Mantis Prawn Rice</t>
  </si>
  <si>
    <t>甘香鸡丁饭 Kam Heong Diced Chicken Rice</t>
  </si>
  <si>
    <t>肉碎豆腐饭 Minced Pork Beancurd Rice</t>
  </si>
  <si>
    <t>葡京鸡丁饭 Pu-Jing Diced Chicken Rice</t>
  </si>
  <si>
    <t>酸甜鸡丁饭 Sweet Sour Diced Chicken Rice</t>
  </si>
  <si>
    <t>黑松露带子炒饭 Black Truffle Scallop Fried Rice</t>
  </si>
  <si>
    <t>双亲节套餐25 Parents Day Set Menu</t>
  </si>
  <si>
    <t>胡椒猪肚菜园鸡煲 Pepper Pig Stomach Chicken Pot</t>
  </si>
  <si>
    <t>啦啦 LALA</t>
  </si>
  <si>
    <t>上汤啦啦 Lala Soup</t>
  </si>
  <si>
    <t>大 (L)</t>
  </si>
  <si>
    <t>啦啦炒米 Lala Mee Hoon</t>
  </si>
  <si>
    <t>姜葱啦啦 Ginger Onion Lala</t>
  </si>
  <si>
    <t>中(M)</t>
  </si>
  <si>
    <t>椒盐炸啦啦 Salt &amp; Pepper Fried Lala</t>
  </si>
  <si>
    <t>甘香啦啦 Kam Heong Lala</t>
  </si>
  <si>
    <t>扇贝 SCALLOP</t>
  </si>
  <si>
    <t>姜蒜辣椒仔蒸扇贝 Steamed Scallop With Ginger Gaclic &amp; Chili</t>
  </si>
  <si>
    <t>10粒/NOS</t>
  </si>
  <si>
    <t>4粒/NOS</t>
  </si>
  <si>
    <t>6粒/NOS</t>
  </si>
  <si>
    <t>8粒/NOS</t>
  </si>
  <si>
    <t>酸甘蒸扇贝 Thai Style Steamed Scallop</t>
  </si>
  <si>
    <t>新菜品上市 New Dishes</t>
  </si>
  <si>
    <t>椰汁老虎虾 Creamy Coconut Prawn</t>
  </si>
  <si>
    <t>肥肥小炒皇 Mix Fried Lotus Root Vege</t>
  </si>
  <si>
    <t>西式麻辣香脆鸡翼 Western Style Mala Fried Chicken Wings</t>
  </si>
  <si>
    <t>6只</t>
  </si>
  <si>
    <t>4只</t>
  </si>
  <si>
    <t>8只</t>
  </si>
  <si>
    <t>新螃蟹系列 New Crab Series</t>
  </si>
  <si>
    <t>泰国最火爆的蟹肉炒饭 Thailand Signature Crab Meat Fried Rice</t>
  </si>
  <si>
    <t>泰式蟹肉煲仔翅 Thai Style Claypot Sharkfin Soup</t>
  </si>
  <si>
    <t>蟹肉焖香港伊面 Crab Meat Braised Hong Kong Noodle</t>
  </si>
  <si>
    <t>日本螺 JAPANESE CONCH</t>
  </si>
  <si>
    <t>宫保日本螺 Gong Po Japanese Conch</t>
  </si>
  <si>
    <t>招牌湿奶油日本螺 Creamy Butter Japanese Conch</t>
  </si>
  <si>
    <t>泰式日本螺 Thai Style Japanese Conch</t>
  </si>
  <si>
    <t>金香日本螺 Kam Heong Japanese Conch</t>
  </si>
  <si>
    <t>鸳鸯日本螺 Kam Heong &amp; Creamy Butter Japanese Conch</t>
  </si>
  <si>
    <t>果汁 FRUIT JUICE</t>
  </si>
  <si>
    <t>杂果汁 Mixed Fruits</t>
  </si>
  <si>
    <t>柠檬汁 Lemon Juice</t>
  </si>
  <si>
    <t>柠檬茶 (冷) Lemon Tea (Iced)</t>
  </si>
  <si>
    <t>柠檬茶 (热) Lemon Tea (Hot)</t>
  </si>
  <si>
    <t>柠檬茶 Lemon Tea</t>
  </si>
  <si>
    <t>桔子酸梅 Lime &amp; Sour Plum Juice</t>
  </si>
  <si>
    <t>橙汁 Orange Juice</t>
  </si>
  <si>
    <t>沙莉酸梅 Ambarella Sour Plum Juice</t>
  </si>
  <si>
    <t>苹果汁 Apple Juice</t>
  </si>
  <si>
    <t>萝卜汁 Carrot Juice</t>
  </si>
  <si>
    <t>蜜糖柠檬 (冷) Honey Lemon (Iced)</t>
  </si>
  <si>
    <t>蜜糖柠檬 (热) Honey Lemon (Hot)</t>
  </si>
  <si>
    <t>西瓜汁 Watermelon Juice</t>
  </si>
  <si>
    <t>酸甘汁 Lime Juice</t>
  </si>
  <si>
    <t>汤类 SOUP</t>
  </si>
  <si>
    <t>上汤芫菜 Spinach Soup</t>
  </si>
  <si>
    <t>什菜豆腐汤 Mixed Vege. Tofu Soup</t>
  </si>
  <si>
    <t>咸菜豆腐汤 Preserved Vege. Tofu Soup</t>
  </si>
  <si>
    <t>白胡椒{奶白}上汤啦啦 White Pepper Lala Nai Pak Soup</t>
  </si>
  <si>
    <t>白胡椒芫菜上汤啦啦 White Pepper Lala Spinach Soup</t>
  </si>
  <si>
    <t>紫菜豆腐汤 Seaweed Tofu Soup</t>
  </si>
  <si>
    <t>红烧蟹肉翅羹 Braised Crab Meat Sharkfin Soup</t>
  </si>
  <si>
    <t>5人</t>
  </si>
  <si>
    <t>蟹肉盅仔翅 Braised Crab Meat Sharkfins</t>
  </si>
  <si>
    <t>豆腐羹 Tofu Soup</t>
  </si>
  <si>
    <t>海鲜类 COMBO SEAFOOD</t>
  </si>
  <si>
    <t>泰式酸柑蒸三鲜 Thai Style Trio Seafood Platter</t>
  </si>
  <si>
    <t>铁板海鲜三鲜 Sizzling Jinjalok Seafood</t>
  </si>
  <si>
    <t>猪肉 PORK</t>
  </si>
  <si>
    <t>万里长骨 BBQ Long Ribs</t>
  </si>
  <si>
    <t>三味骨 Trio Peanut Ribs</t>
  </si>
  <si>
    <t>京都骨 King Dou Ribs</t>
  </si>
  <si>
    <t>咕噜肉 Sweet &amp; Sour Pork</t>
  </si>
  <si>
    <t>咸鱼猪肉煲 Claypot Salted Fish With Sliced Pork</t>
  </si>
  <si>
    <t>妈蜜骨 Marmite Ribs</t>
  </si>
  <si>
    <t>姜葱猪肉 Ginger Onion Sliced Pork</t>
  </si>
  <si>
    <t>江南长骨 GangNam Style Long Ribs</t>
  </si>
  <si>
    <t>火焰骨 Fired Ribs</t>
  </si>
  <si>
    <t>芭提雅炸猪手 Pattaya Crispy Pork Knuckles</t>
  </si>
  <si>
    <t>Standard Size</t>
  </si>
  <si>
    <t>苹果沙律骨 Apple Salad Fried Ribs</t>
  </si>
  <si>
    <t>葡京骨 Pu-Jing Salad Ribs</t>
  </si>
  <si>
    <t>酸甜排骨 Sweet &amp; Sour Ribs</t>
  </si>
  <si>
    <t>鸳鸯长骨 2 Type Long Ribs</t>
  </si>
  <si>
    <t>苏东 SOTONG</t>
  </si>
  <si>
    <t>咸湿苏东 Creamy Salted Egg Sotong</t>
  </si>
  <si>
    <t>咸蛋苏东 Salted Egg Sotong</t>
  </si>
  <si>
    <t>意大利苏东 Italian Sauce Sotong</t>
  </si>
  <si>
    <t>椒盐苏东 Salt &amp; Pepper Sotong</t>
  </si>
  <si>
    <t>泰式苏东 Thai Style Sotong</t>
  </si>
  <si>
    <t>湿奶油苏东 Creamy Butter Sotong</t>
  </si>
  <si>
    <t>芝士苏东 Cheesy Sotong</t>
  </si>
  <si>
    <t>酥炸苏东 Crispy Fried Sotong</t>
  </si>
  <si>
    <t>金香苏东 Kam Heong Sotong</t>
  </si>
  <si>
    <t>铁板苏东 Sizzling Jinjalok Sotong</t>
  </si>
  <si>
    <t>麦片苏东 Fried Oat Sotong</t>
  </si>
  <si>
    <t>茶类 TEA</t>
  </si>
  <si>
    <t>普洱 Pu Er Tea</t>
  </si>
  <si>
    <t>1 - 3 pax</t>
  </si>
  <si>
    <t>4 - 6 pax</t>
  </si>
  <si>
    <t>7 - 9 pax</t>
  </si>
  <si>
    <t>10-15 pax</t>
  </si>
  <si>
    <t>自带茶 Self-Bring Chinese Tea</t>
  </si>
  <si>
    <t>4- 5 pax</t>
  </si>
  <si>
    <t>茶王 Tea King</t>
  </si>
  <si>
    <t>菊保 Jubao</t>
  </si>
  <si>
    <t>菊花 Chrysanthemum Tea</t>
  </si>
  <si>
    <t>铁观音 Tie Guan Ying</t>
  </si>
  <si>
    <t>香片 Jasmine Tea</t>
  </si>
  <si>
    <t>蔬菜 VEGETABLES</t>
  </si>
  <si>
    <t>咸蛋桂豆苗 Salted Egg French Bean</t>
  </si>
  <si>
    <t>李小龙炒日本菜心 Stir Fried Japan Choy Sum With Chili Padi</t>
  </si>
  <si>
    <t>桂豆苗炒肉碎 Stir Fried French Bean With Minced Pork</t>
  </si>
  <si>
    <t>清炒树苗 Stir Fried Yam Leaves</t>
  </si>
  <si>
    <t>清炒芫菜 Stir Fried Baby Spinach</t>
  </si>
  <si>
    <t>相思芥兰 2 Types Kailan</t>
  </si>
  <si>
    <t>菜心虾仁 Stir Fried Japan Choy Sum with Shrimp</t>
  </si>
  <si>
    <t>蒜香炒芥兰 Stir Fried Kailan With Garlic</t>
  </si>
  <si>
    <t>虾米椒仔包菜 Stir Fried Cabbage With Dry Shrimp</t>
  </si>
  <si>
    <t>蚝皇虾球生菜 Stir Fried Lettuce &amp; Shrimp Ball With Oyster King Sauce</t>
  </si>
  <si>
    <t>蟹肉开枝散叶 Stir Fried Kai Lan with Crab Meat Seafood</t>
  </si>
  <si>
    <t>西兰花炒什 Stir Fried Mixed Vege With Broccoli</t>
  </si>
  <si>
    <t>西兰花炒带子 Stir Fried Scallop With Broccoli</t>
  </si>
  <si>
    <t>青龙菜炒带子  Stir Fried Green Dragon Vege with Scallop</t>
  </si>
  <si>
    <t>青龙菜炒松菇 Stir Fried Green Dragon Vege &amp; Mushroom</t>
  </si>
  <si>
    <t>马来四大天王 Stir Fried Belacan 4 King Vegetables</t>
  </si>
  <si>
    <t>马来栈炒树苗茄子 Stir Fried Belacan With Potato Leaves &amp; Eggplant</t>
  </si>
  <si>
    <t>马来臭豆肉碎虾球 Belacan Stinky Bean Minced Shrimp Ball</t>
  </si>
  <si>
    <t>黄酒芥兰炒云耳 Stir Fried Kailan &amp; Fungus With Wine</t>
  </si>
  <si>
    <t>虾类 PRAWN</t>
  </si>
  <si>
    <t>咸蛋虾球 Crispy Shrimp With Salted Egg</t>
  </si>
  <si>
    <t>妈蜜老虎虾 Marmite Tiger Prawn</t>
  </si>
  <si>
    <t>干煎老虎虾 Pan Fried Tiger Prawn</t>
  </si>
  <si>
    <t>意大利虾球 Italian Sauce With Crispy Shrimp Ball</t>
  </si>
  <si>
    <t>椒盐虾球 Salt &amp; Pepper Fried Shrimp Ball</t>
  </si>
  <si>
    <t>生虾冬粉煲 Claypot River Prawn With Glass Noodle</t>
  </si>
  <si>
    <t>白灼老虎虾 Boiled Tiger Prawn With Chinese Wine</t>
  </si>
  <si>
    <t>芝士生虾 Cheese River Prawn</t>
  </si>
  <si>
    <t>芝士老虎虾 Cheese Tiger Prawn</t>
  </si>
  <si>
    <t>苹果沙律虾球 Apple Salab With Crispy Shrimp Ball</t>
  </si>
  <si>
    <t>葡京虾球 Crispy Shrimp With Pu-Jing Salad</t>
  </si>
  <si>
    <t>豉油皇老虎虾 Soya Sauce Tiger Prawn</t>
  </si>
  <si>
    <t>避风塘虾球 Spicy Fried Garlic Fried Shrimp</t>
  </si>
  <si>
    <t>酸甜虾球 Sweet &amp; Sour Shrimp</t>
  </si>
  <si>
    <t>铁板虾球 Sizzling Jinjalok Shrimp Ball</t>
  </si>
  <si>
    <t>鸳鸯虾球 Ying Yong Shrimp</t>
  </si>
  <si>
    <t>麦片老虎虾 Oat Tiger Prawn</t>
  </si>
  <si>
    <t>麦片虾球 Oat Fried Shrimp Ball</t>
  </si>
  <si>
    <t>虾羔 MANTIS PRAWN</t>
  </si>
  <si>
    <t>咸湿虾羔 Creamy Salted Egg Mantis Prawn</t>
  </si>
  <si>
    <t>咸蛋虾羔 Salted Egg Mantis Prawn</t>
  </si>
  <si>
    <t>妈蜜虾羔 Marmite Mantis Prawn</t>
  </si>
  <si>
    <t>宫保虾羔 Gong Po Mantis Prawn</t>
  </si>
  <si>
    <t>意大利虾羔 Italian Sauce Mantis Prawn</t>
  </si>
  <si>
    <t>椒盐虾羔 Salt &amp; Pepper Mantis Prawn</t>
  </si>
  <si>
    <t>湿奶油虾羔 Creamy Butter Mantis Prawn</t>
  </si>
  <si>
    <t>葡京虾羔 Pu-Jing Salad Mantis Prawn</t>
  </si>
  <si>
    <t>鸳鸯虾羔 Ying Yong Mantis Prawn</t>
  </si>
  <si>
    <t>麦片虾羔 Oat Fried Mantis Prawn</t>
  </si>
  <si>
    <t>螃蟹 CRAB</t>
  </si>
  <si>
    <t>1 pcs XL Size Crab</t>
  </si>
  <si>
    <t>1 pcs XXL Size Crab</t>
  </si>
  <si>
    <t>2 pcs XL Size Crab</t>
  </si>
  <si>
    <t>2 pcs XL Size Crab (GINTELL FOC)</t>
  </si>
  <si>
    <t>2 pcs XXL Size Crab</t>
  </si>
  <si>
    <t>2 pcs XXL Size Crab (FFC x GINTELL Contest)</t>
  </si>
  <si>
    <t>2 pcs XXXL Size Crab</t>
  </si>
  <si>
    <t>3 pcs L Size Crab</t>
  </si>
  <si>
    <t>3 pcs L Size Crab (特价优惠)</t>
  </si>
  <si>
    <t>3 pcs M Size Crab</t>
  </si>
  <si>
    <t>3 pcs M Size Crab (特价优惠)</t>
  </si>
  <si>
    <t>猫山王榴莲/整粒 Musang King Durian</t>
  </si>
  <si>
    <t>豆腐 BEANCURD</t>
  </si>
  <si>
    <t>咸蛋海鲜豆腐 Salted Egg With Seafood Tofu</t>
  </si>
  <si>
    <t>珊瑚海皇豆腐 Signature Homemade Beancurd</t>
  </si>
  <si>
    <t>瓦煲豆腐 Claypot Beancurd</t>
  </si>
  <si>
    <t>脆皮海鲜豆腐 Crispy Fried Seafood Tofu</t>
  </si>
  <si>
    <t>金丝蟹扒豆腐 Crab Meat Homemade Beancurd</t>
  </si>
  <si>
    <t>金砖豆腐 Golden Homemade Beancurd</t>
  </si>
  <si>
    <t>金针菇豆腐 Enoki Mushroom Beancurd</t>
  </si>
  <si>
    <t>铁板豆腐 Sizzling Beancurd</t>
  </si>
  <si>
    <t>风味豆腐 Special Petai Sauce With Homemade Beancurd</t>
  </si>
  <si>
    <t>鱼翅豆腐 Sharkfins Beancurd</t>
  </si>
  <si>
    <t>麦片海鲜豆腐 Fried Oat With Seafood Tofu</t>
  </si>
  <si>
    <t>大(10粒)</t>
  </si>
  <si>
    <t>小(6粒)</t>
  </si>
  <si>
    <t>青蚝 MUSSELS</t>
  </si>
  <si>
    <t>姜葱青蚝 Ginger Onion Mussels</t>
  </si>
  <si>
    <t>甘香青蚝 Kam Heong Mussels</t>
  </si>
  <si>
    <t>芝士青蚝 Cheesy Mussels</t>
  </si>
  <si>
    <t>黑椒青蚝 Black Pepper Mussels</t>
  </si>
  <si>
    <t>饮料 BEVERAGE</t>
  </si>
  <si>
    <t>100号 100plus</t>
  </si>
  <si>
    <t>仙草豆奶 Grassjelly Soymilk</t>
  </si>
  <si>
    <t>凉水 Herbal Drinks</t>
  </si>
  <si>
    <t>可口可乐 Coke</t>
  </si>
  <si>
    <t>可口可乐 无糖 Coke Zero</t>
  </si>
  <si>
    <t>小麦草 Wheat Grass</t>
  </si>
  <si>
    <t>椰子 Fresh Coconut</t>
  </si>
  <si>
    <t>洋参菊花 Ginseng Chrysanthemum</t>
  </si>
  <si>
    <t>清水(杯) Plain Water (Glass)</t>
  </si>
  <si>
    <t>爱玉冰 Ice Jelly</t>
  </si>
  <si>
    <t>皇帽啤酒 Carlsberg</t>
  </si>
  <si>
    <t>热 Hot</t>
  </si>
  <si>
    <t>冷 Cold</t>
  </si>
  <si>
    <t>茶(杯) Chinese Tea (Glass)</t>
  </si>
  <si>
    <t>蜂蜜芦荟 Honey Aloe Vera</t>
  </si>
  <si>
    <t>豆浆 Soya Milk</t>
  </si>
  <si>
    <t>馒头 BUN</t>
  </si>
  <si>
    <t>炸馒头 Fried Bun (1条）</t>
  </si>
  <si>
    <t>炸馒头 Fried Bun (2条)</t>
  </si>
  <si>
    <t>蒸馒头 Steam Bun  (1条）</t>
  </si>
  <si>
    <t>蒸馒头 Steam Bun (2条)</t>
  </si>
  <si>
    <t>鱼类 FISH (MOUNT AUSTIN)</t>
  </si>
  <si>
    <t>红鸡鱼 RED SNAPPER</t>
  </si>
  <si>
    <t>龙虎斑 DRAGON GROUPER</t>
  </si>
  <si>
    <t>鱼翅捞饭超值午市套餐</t>
  </si>
  <si>
    <t>Set E</t>
  </si>
  <si>
    <t>鸡肉 CHICKEN</t>
  </si>
  <si>
    <t>XO酒蒸菜园鸡 XO Steamed Kampung Chicken</t>
  </si>
  <si>
    <t>上海当归盐酒蒸鸡 Shanghai Style Herbal Salty Wine Steamed Kampung Chicken</t>
  </si>
  <si>
    <t>四川辣子鸡丁 Sze Chuan Hot Diced Chicken</t>
  </si>
  <si>
    <t>妈蜜鸡丁 Marmite Diced Chicken</t>
  </si>
  <si>
    <t>姜丝麻油鸡 Ginger Sesame Oil Chicken</t>
  </si>
  <si>
    <t>姜葱鸡丁 Ginger Onion Diced Chicken</t>
  </si>
  <si>
    <t>宫保鸡丁 Gong Po Diced Chicken</t>
  </si>
  <si>
    <t>椒盐鸡柳 Salt &amp; Pepper Chicken Fillet</t>
  </si>
  <si>
    <t>港式口水鸡 HK Style Steamed Kampung Chicken</t>
  </si>
  <si>
    <t>牛油煎焗鸡 Butter Fried Chicken</t>
  </si>
  <si>
    <t>瓦煲香叶焖鸡 Claypot Curry Leaf Braised Kampung Chicken Pot</t>
  </si>
  <si>
    <t>甘香鸡丁 Kam Heong Diced Chicken</t>
  </si>
  <si>
    <t>葡京鸡丁 Pu-Jing Diced Chicken</t>
  </si>
  <si>
    <t>铁板京烧焗鸡 Teppanyaki Baked Chicken</t>
  </si>
  <si>
    <t>锡纸火焰鸡 Sweet &amp; Sour Fried Chicken</t>
  </si>
  <si>
    <t>鸳鸯鸡 Ying Yong Chicken</t>
  </si>
  <si>
    <t>墨西哥鸡柳 Mexico Fried Chicken Fillet</t>
  </si>
  <si>
    <t>鸡蛋 EGG</t>
  </si>
  <si>
    <t>三皇蛋 3 Kings Steamed Eggs</t>
  </si>
  <si>
    <t>大葱煎蛋 Onion Omelette</t>
  </si>
  <si>
    <t>蒸水蛋 Steamed Egg</t>
  </si>
  <si>
    <t>番茄煎蛋 Tomato Omelette</t>
  </si>
  <si>
    <t>空蛋 Omelette</t>
  </si>
  <si>
    <t>肉碎煎蛋 Minced Pork Omelette</t>
  </si>
  <si>
    <t>芙蓉蛋 Fu Yong Omelette</t>
  </si>
  <si>
    <t>荷包蛋 Poached Egg</t>
  </si>
  <si>
    <t>菜圃肉碎煎蛋 Preserved Minced Pork Omelette</t>
  </si>
  <si>
    <t>虾仁煎蛋 Prawn Omelette</t>
  </si>
  <si>
    <t>SST rate</t>
  </si>
  <si>
    <t xml:space="preserve">non-alcohol </t>
  </si>
  <si>
    <t>alcohol</t>
  </si>
  <si>
    <t>check</t>
  </si>
  <si>
    <t>tallied with FeedMe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</si>
</sst>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4D79B"/>
      </patternFill>
    </fill>
    <fill>
      <patternFill patternType="solid">
        <fgColor rgb="FFD8E4BC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0" fillId="4" borderId="0" xfId="0" applyFill="1"/>
    <xf numFmtId="0" fontId="4" fillId="4" borderId="0" xfId="0" applyFont="1" applyFill="1"/>
    <xf numFmtId="9" fontId="0" fillId="4" borderId="0" xfId="0" applyNumberFormat="1" applyFill="1"/>
    <xf numFmtId="2" fontId="0" fillId="0" borderId="0" xfId="0" applyNumberFormat="1"/>
    <xf numFmtId="0" fontId="5" fillId="0" borderId="0" xfId="0" applyFon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9"/>
  <sheetViews>
    <sheetView tabSelected="1" workbookViewId="0">
      <pane ySplit="7" topLeftCell="A356" activePane="bottomLeft" state="frozen"/>
      <selection pane="bottomLeft" activeCell="I8" sqref="I8"/>
    </sheetView>
  </sheetViews>
  <sheetFormatPr defaultRowHeight="14.6" x14ac:dyDescent="0.4"/>
  <cols>
    <col min="1" max="11" width="9" style="1" customWidth="1"/>
    <col min="16" max="16" width="9.3828125" bestFit="1" customWidth="1"/>
  </cols>
  <sheetData>
    <row r="1" spans="1:17" x14ac:dyDescent="0.4">
      <c r="A1" t="s">
        <v>0</v>
      </c>
    </row>
    <row r="2" spans="1:17" x14ac:dyDescent="0.4">
      <c r="A2" t="s">
        <v>1</v>
      </c>
      <c r="M2" s="4"/>
      <c r="N2" s="4"/>
      <c r="O2" s="5" t="s">
        <v>326</v>
      </c>
    </row>
    <row r="3" spans="1:17" x14ac:dyDescent="0.4">
      <c r="A3" t="s">
        <v>2</v>
      </c>
      <c r="M3" s="4" t="s">
        <v>327</v>
      </c>
      <c r="N3" s="4"/>
      <c r="O3" s="6">
        <v>0.06</v>
      </c>
    </row>
    <row r="4" spans="1:17" x14ac:dyDescent="0.4">
      <c r="A4" t="s">
        <v>3</v>
      </c>
      <c r="M4" s="4" t="s">
        <v>328</v>
      </c>
      <c r="N4" s="4"/>
      <c r="O4" s="6">
        <v>0.08</v>
      </c>
    </row>
    <row r="5" spans="1:17" x14ac:dyDescent="0.4">
      <c r="A5" t="s">
        <v>4</v>
      </c>
    </row>
    <row r="6" spans="1:17" x14ac:dyDescent="0.4">
      <c r="M6" s="8" t="s">
        <v>329</v>
      </c>
      <c r="P6" s="8" t="s">
        <v>329</v>
      </c>
    </row>
    <row r="7" spans="1:17" x14ac:dyDescent="0.4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M7" s="2" t="s">
        <v>326</v>
      </c>
      <c r="P7" s="2" t="s">
        <v>10</v>
      </c>
    </row>
    <row r="8" spans="1:17" x14ac:dyDescent="0.4">
      <c r="A8" s="3" t="s">
        <v>16</v>
      </c>
      <c r="B8" s="3" t="s">
        <v>16</v>
      </c>
      <c r="C8" s="3" t="s">
        <v>16</v>
      </c>
      <c r="D8" s="3" t="s">
        <v>16</v>
      </c>
      <c r="E8" s="3">
        <v>6084</v>
      </c>
      <c r="F8" s="3">
        <v>155516.42000000001</v>
      </c>
      <c r="G8" s="3">
        <v>-1802.29</v>
      </c>
      <c r="H8" s="3">
        <v>0</v>
      </c>
      <c r="I8" s="3">
        <v>9222.85</v>
      </c>
      <c r="J8" s="3">
        <v>13900.11</v>
      </c>
      <c r="K8" s="3">
        <v>176837.09</v>
      </c>
      <c r="M8">
        <f t="shared" ref="M8:M71" si="0">I8/(F8+G8)</f>
        <v>6.0000014312282156E-2</v>
      </c>
      <c r="P8" s="7">
        <f>F9+F19+F28+F32+F40+F50+F60+F75+F77+F88+F95+F103+F107+F113+F136+F149+F153+F177+F196+F220+F257+F288+F309+F322+F349+F356+F372+F377+F380+F382+F409</f>
        <v>155516.41999999998</v>
      </c>
      <c r="Q8" s="8" t="s">
        <v>330</v>
      </c>
    </row>
    <row r="9" spans="1:17" x14ac:dyDescent="0.4">
      <c r="A9" s="3" t="s">
        <v>17</v>
      </c>
      <c r="B9" s="3" t="s">
        <v>16</v>
      </c>
      <c r="C9" s="3" t="s">
        <v>16</v>
      </c>
      <c r="D9" s="3" t="s">
        <v>16</v>
      </c>
      <c r="E9" s="3">
        <v>17</v>
      </c>
      <c r="F9" s="3">
        <v>287.3</v>
      </c>
      <c r="G9" s="3">
        <v>-8.4499999999999993</v>
      </c>
      <c r="H9" s="3">
        <v>0</v>
      </c>
      <c r="I9" s="3">
        <v>16.73</v>
      </c>
      <c r="J9" s="3">
        <v>10.14</v>
      </c>
      <c r="K9" s="3">
        <v>305.72000000000003</v>
      </c>
      <c r="M9" s="7">
        <f t="shared" si="0"/>
        <v>5.9996413842567688E-2</v>
      </c>
    </row>
    <row r="10" spans="1:17" x14ac:dyDescent="0.4">
      <c r="A10" s="1" t="s">
        <v>17</v>
      </c>
      <c r="B10" s="1" t="s">
        <v>18</v>
      </c>
      <c r="C10" s="1" t="s">
        <v>16</v>
      </c>
      <c r="D10" s="1" t="s">
        <v>16</v>
      </c>
      <c r="E10" s="1">
        <v>2</v>
      </c>
      <c r="F10" s="1">
        <v>33.799999999999997</v>
      </c>
      <c r="G10" s="1">
        <v>0</v>
      </c>
      <c r="H10" s="1">
        <v>0</v>
      </c>
      <c r="I10" s="1">
        <v>2.0299999999999998</v>
      </c>
      <c r="J10" s="1">
        <v>0</v>
      </c>
      <c r="K10" s="1">
        <v>35.83</v>
      </c>
      <c r="M10" s="7">
        <f t="shared" si="0"/>
        <v>6.0059171597633132E-2</v>
      </c>
    </row>
    <row r="11" spans="1:17" x14ac:dyDescent="0.4">
      <c r="A11" s="1" t="s">
        <v>17</v>
      </c>
      <c r="B11" s="1" t="s">
        <v>19</v>
      </c>
      <c r="C11" s="1" t="s">
        <v>16</v>
      </c>
      <c r="D11" s="1" t="s">
        <v>16</v>
      </c>
      <c r="E11" s="1">
        <v>1</v>
      </c>
      <c r="F11" s="1">
        <v>16.899999999999999</v>
      </c>
      <c r="G11" s="1">
        <v>0</v>
      </c>
      <c r="H11" s="1">
        <v>0</v>
      </c>
      <c r="I11" s="1">
        <v>1.01</v>
      </c>
      <c r="J11" s="1">
        <v>1.69</v>
      </c>
      <c r="K11" s="1">
        <v>19.600000000000001</v>
      </c>
      <c r="M11" s="7">
        <f t="shared" si="0"/>
        <v>5.9763313609467461E-2</v>
      </c>
    </row>
    <row r="12" spans="1:17" x14ac:dyDescent="0.4">
      <c r="A12" s="1" t="s">
        <v>17</v>
      </c>
      <c r="B12" s="1" t="s">
        <v>20</v>
      </c>
      <c r="C12" s="1" t="s">
        <v>16</v>
      </c>
      <c r="D12" s="1" t="s">
        <v>16</v>
      </c>
      <c r="E12" s="1">
        <v>3</v>
      </c>
      <c r="F12" s="1">
        <v>50.7</v>
      </c>
      <c r="G12" s="1">
        <v>0</v>
      </c>
      <c r="H12" s="1">
        <v>0</v>
      </c>
      <c r="I12" s="1">
        <v>3.04</v>
      </c>
      <c r="J12" s="1">
        <v>5.07</v>
      </c>
      <c r="K12" s="1">
        <v>58.81</v>
      </c>
      <c r="M12" s="7">
        <f t="shared" si="0"/>
        <v>5.9960552268244573E-2</v>
      </c>
    </row>
    <row r="13" spans="1:17" x14ac:dyDescent="0.4">
      <c r="A13" s="1" t="s">
        <v>17</v>
      </c>
      <c r="B13" s="1" t="s">
        <v>21</v>
      </c>
      <c r="C13" s="1" t="s">
        <v>16</v>
      </c>
      <c r="D13" s="1" t="s">
        <v>16</v>
      </c>
      <c r="E13" s="1">
        <v>2</v>
      </c>
      <c r="F13" s="1">
        <v>33.799999999999997</v>
      </c>
      <c r="G13" s="1">
        <v>-1.69</v>
      </c>
      <c r="H13" s="1">
        <v>0</v>
      </c>
      <c r="I13" s="1">
        <v>1.93</v>
      </c>
      <c r="J13" s="1">
        <v>0</v>
      </c>
      <c r="K13" s="1">
        <v>34.04</v>
      </c>
      <c r="M13" s="7">
        <f t="shared" si="0"/>
        <v>6.0105886016817191E-2</v>
      </c>
    </row>
    <row r="14" spans="1:17" x14ac:dyDescent="0.4">
      <c r="A14" s="1" t="s">
        <v>17</v>
      </c>
      <c r="B14" s="1" t="s">
        <v>22</v>
      </c>
      <c r="C14" s="1" t="s">
        <v>16</v>
      </c>
      <c r="D14" s="1" t="s">
        <v>16</v>
      </c>
      <c r="E14" s="1">
        <v>1</v>
      </c>
      <c r="F14" s="1">
        <v>16.899999999999999</v>
      </c>
      <c r="G14" s="1">
        <v>0</v>
      </c>
      <c r="H14" s="1">
        <v>0</v>
      </c>
      <c r="I14" s="1">
        <v>1.01</v>
      </c>
      <c r="J14" s="1">
        <v>1.69</v>
      </c>
      <c r="K14" s="1">
        <v>19.600000000000001</v>
      </c>
      <c r="M14" s="7">
        <f t="shared" si="0"/>
        <v>5.9763313609467461E-2</v>
      </c>
    </row>
    <row r="15" spans="1:17" x14ac:dyDescent="0.4">
      <c r="A15" s="1" t="s">
        <v>17</v>
      </c>
      <c r="B15" s="1" t="s">
        <v>23</v>
      </c>
      <c r="C15" s="1" t="s">
        <v>16</v>
      </c>
      <c r="D15" s="1" t="s">
        <v>16</v>
      </c>
      <c r="E15" s="1">
        <v>1</v>
      </c>
      <c r="F15" s="1">
        <v>16.899999999999999</v>
      </c>
      <c r="G15" s="1">
        <v>-1.69</v>
      </c>
      <c r="H15" s="1">
        <v>0</v>
      </c>
      <c r="I15" s="1">
        <v>0.91</v>
      </c>
      <c r="J15" s="1">
        <v>0</v>
      </c>
      <c r="K15" s="1">
        <v>16.12</v>
      </c>
      <c r="M15" s="7">
        <f t="shared" si="0"/>
        <v>5.9829059829059832E-2</v>
      </c>
    </row>
    <row r="16" spans="1:17" x14ac:dyDescent="0.4">
      <c r="A16" s="1" t="s">
        <v>17</v>
      </c>
      <c r="B16" s="1" t="s">
        <v>24</v>
      </c>
      <c r="C16" s="1" t="s">
        <v>16</v>
      </c>
      <c r="D16" s="1" t="s">
        <v>16</v>
      </c>
      <c r="E16" s="1">
        <v>4</v>
      </c>
      <c r="F16" s="1">
        <v>67.599999999999994</v>
      </c>
      <c r="G16" s="1">
        <v>-3.38</v>
      </c>
      <c r="H16" s="1">
        <v>0</v>
      </c>
      <c r="I16" s="1">
        <v>3.85</v>
      </c>
      <c r="J16" s="1">
        <v>1.69</v>
      </c>
      <c r="K16" s="1">
        <v>69.760000000000005</v>
      </c>
      <c r="M16" s="7">
        <f t="shared" si="0"/>
        <v>5.9950171286203675E-2</v>
      </c>
    </row>
    <row r="17" spans="1:13" x14ac:dyDescent="0.4">
      <c r="A17" s="1" t="s">
        <v>17</v>
      </c>
      <c r="B17" s="1" t="s">
        <v>25</v>
      </c>
      <c r="C17" s="1" t="s">
        <v>16</v>
      </c>
      <c r="D17" s="1" t="s">
        <v>16</v>
      </c>
      <c r="E17" s="1">
        <v>1</v>
      </c>
      <c r="F17" s="1">
        <v>16.899999999999999</v>
      </c>
      <c r="G17" s="1">
        <v>0</v>
      </c>
      <c r="H17" s="1">
        <v>0</v>
      </c>
      <c r="I17" s="1">
        <v>1.01</v>
      </c>
      <c r="J17" s="1">
        <v>0</v>
      </c>
      <c r="K17" s="1">
        <v>17.91</v>
      </c>
      <c r="M17" s="7">
        <f t="shared" si="0"/>
        <v>5.9763313609467461E-2</v>
      </c>
    </row>
    <row r="18" spans="1:13" x14ac:dyDescent="0.4">
      <c r="A18" s="1" t="s">
        <v>17</v>
      </c>
      <c r="B18" s="1" t="s">
        <v>26</v>
      </c>
      <c r="C18" s="1" t="s">
        <v>16</v>
      </c>
      <c r="D18" s="1" t="s">
        <v>16</v>
      </c>
      <c r="E18" s="1">
        <v>2</v>
      </c>
      <c r="F18" s="1">
        <v>33.799999999999997</v>
      </c>
      <c r="G18" s="1">
        <v>-1.69</v>
      </c>
      <c r="H18" s="1">
        <v>0</v>
      </c>
      <c r="I18" s="1">
        <v>1.93</v>
      </c>
      <c r="J18" s="1">
        <v>0</v>
      </c>
      <c r="K18" s="1">
        <v>34.04</v>
      </c>
      <c r="M18" s="7">
        <f t="shared" si="0"/>
        <v>6.0105886016817191E-2</v>
      </c>
    </row>
    <row r="19" spans="1:13" x14ac:dyDescent="0.4">
      <c r="A19" s="3" t="s">
        <v>27</v>
      </c>
      <c r="B19" s="3" t="s">
        <v>16</v>
      </c>
      <c r="C19" s="3" t="s">
        <v>16</v>
      </c>
      <c r="D19" s="3" t="s">
        <v>16</v>
      </c>
      <c r="E19" s="3">
        <v>12</v>
      </c>
      <c r="F19" s="3">
        <v>267</v>
      </c>
      <c r="G19" s="3">
        <v>0</v>
      </c>
      <c r="H19" s="3">
        <v>0</v>
      </c>
      <c r="I19" s="3">
        <v>16.02</v>
      </c>
      <c r="J19" s="3">
        <v>26.7</v>
      </c>
      <c r="K19" s="3">
        <v>309.72000000000003</v>
      </c>
      <c r="M19">
        <f t="shared" si="0"/>
        <v>0.06</v>
      </c>
    </row>
    <row r="20" spans="1:13" x14ac:dyDescent="0.4">
      <c r="A20" s="1" t="s">
        <v>27</v>
      </c>
      <c r="B20" s="1" t="s">
        <v>28</v>
      </c>
      <c r="C20" s="1" t="s">
        <v>16</v>
      </c>
      <c r="D20" s="1" t="s">
        <v>16</v>
      </c>
      <c r="E20" s="1">
        <v>4</v>
      </c>
      <c r="F20" s="1">
        <v>72</v>
      </c>
      <c r="G20" s="1">
        <v>0</v>
      </c>
      <c r="H20" s="1">
        <v>0</v>
      </c>
      <c r="I20" s="1">
        <v>4.32</v>
      </c>
      <c r="J20" s="1">
        <v>7.2</v>
      </c>
      <c r="K20" s="1">
        <v>83.52</v>
      </c>
      <c r="M20">
        <f t="shared" si="0"/>
        <v>6.0000000000000005E-2</v>
      </c>
    </row>
    <row r="21" spans="1:13" x14ac:dyDescent="0.4">
      <c r="A21" s="1" t="s">
        <v>27</v>
      </c>
      <c r="B21" s="1" t="s">
        <v>29</v>
      </c>
      <c r="C21" s="1" t="s">
        <v>16</v>
      </c>
      <c r="D21" s="1" t="s">
        <v>16</v>
      </c>
      <c r="E21" s="1">
        <v>1</v>
      </c>
      <c r="F21" s="1">
        <v>60</v>
      </c>
      <c r="G21" s="1">
        <v>0</v>
      </c>
      <c r="H21" s="1">
        <v>0</v>
      </c>
      <c r="I21" s="1">
        <v>3.6</v>
      </c>
      <c r="J21" s="1">
        <v>6</v>
      </c>
      <c r="K21" s="1">
        <v>69.599999999999994</v>
      </c>
      <c r="M21">
        <f t="shared" si="0"/>
        <v>6.0000000000000005E-2</v>
      </c>
    </row>
    <row r="22" spans="1:13" x14ac:dyDescent="0.4">
      <c r="A22" s="1" t="s">
        <v>27</v>
      </c>
      <c r="B22" s="1" t="s">
        <v>30</v>
      </c>
      <c r="C22" s="1" t="s">
        <v>16</v>
      </c>
      <c r="D22" s="1" t="s">
        <v>16</v>
      </c>
      <c r="E22" s="1">
        <v>2</v>
      </c>
      <c r="F22" s="1">
        <v>32</v>
      </c>
      <c r="G22" s="1">
        <v>0</v>
      </c>
      <c r="H22" s="1">
        <v>0</v>
      </c>
      <c r="I22" s="1">
        <v>1.92</v>
      </c>
      <c r="J22" s="1">
        <v>3.2</v>
      </c>
      <c r="K22" s="1">
        <v>37.119999999999997</v>
      </c>
      <c r="M22">
        <f t="shared" si="0"/>
        <v>0.06</v>
      </c>
    </row>
    <row r="23" spans="1:13" x14ac:dyDescent="0.4">
      <c r="A23" s="1" t="s">
        <v>27</v>
      </c>
      <c r="B23" s="1" t="s">
        <v>31</v>
      </c>
      <c r="C23" s="1" t="s">
        <v>16</v>
      </c>
      <c r="D23" s="1" t="s">
        <v>16</v>
      </c>
      <c r="E23" s="1">
        <v>1</v>
      </c>
      <c r="F23" s="1">
        <v>28</v>
      </c>
      <c r="G23" s="1">
        <v>0</v>
      </c>
      <c r="H23" s="1">
        <v>0</v>
      </c>
      <c r="I23" s="1">
        <v>1.68</v>
      </c>
      <c r="J23" s="1">
        <v>2.8</v>
      </c>
      <c r="K23" s="1">
        <v>32.479999999999997</v>
      </c>
      <c r="M23">
        <f t="shared" si="0"/>
        <v>0.06</v>
      </c>
    </row>
    <row r="24" spans="1:13" x14ac:dyDescent="0.4">
      <c r="A24" s="1" t="s">
        <v>27</v>
      </c>
      <c r="B24" s="1" t="s">
        <v>32</v>
      </c>
      <c r="C24" s="1" t="s">
        <v>16</v>
      </c>
      <c r="D24" s="1" t="s">
        <v>16</v>
      </c>
      <c r="E24" s="1">
        <v>1</v>
      </c>
      <c r="F24" s="1">
        <v>15</v>
      </c>
      <c r="G24" s="1">
        <v>0</v>
      </c>
      <c r="H24" s="1">
        <v>0</v>
      </c>
      <c r="I24" s="1">
        <v>0.9</v>
      </c>
      <c r="J24" s="1">
        <v>1.5</v>
      </c>
      <c r="K24" s="1">
        <v>17.399999999999999</v>
      </c>
      <c r="M24">
        <f t="shared" si="0"/>
        <v>6.0000000000000005E-2</v>
      </c>
    </row>
    <row r="25" spans="1:13" x14ac:dyDescent="0.4">
      <c r="A25" s="1" t="s">
        <v>27</v>
      </c>
      <c r="B25" s="1" t="s">
        <v>33</v>
      </c>
      <c r="C25" s="1" t="s">
        <v>16</v>
      </c>
      <c r="D25" s="1" t="s">
        <v>16</v>
      </c>
      <c r="E25" s="1">
        <v>1</v>
      </c>
      <c r="F25" s="1">
        <v>20</v>
      </c>
      <c r="G25" s="1">
        <v>0</v>
      </c>
      <c r="H25" s="1">
        <v>0</v>
      </c>
      <c r="I25" s="1">
        <v>1.2</v>
      </c>
      <c r="J25" s="1">
        <v>2</v>
      </c>
      <c r="K25" s="1">
        <v>23.2</v>
      </c>
      <c r="M25">
        <f t="shared" si="0"/>
        <v>0.06</v>
      </c>
    </row>
    <row r="26" spans="1:13" x14ac:dyDescent="0.4">
      <c r="A26" s="1" t="s">
        <v>27</v>
      </c>
      <c r="B26" s="1" t="s">
        <v>34</v>
      </c>
      <c r="C26" s="1" t="s">
        <v>16</v>
      </c>
      <c r="D26" s="1" t="s">
        <v>16</v>
      </c>
      <c r="E26" s="1">
        <v>1</v>
      </c>
      <c r="F26" s="1">
        <v>25</v>
      </c>
      <c r="G26" s="1">
        <v>0</v>
      </c>
      <c r="H26" s="1">
        <v>0</v>
      </c>
      <c r="I26" s="1">
        <v>1.5</v>
      </c>
      <c r="J26" s="1">
        <v>2.5</v>
      </c>
      <c r="K26" s="1">
        <v>29</v>
      </c>
      <c r="M26">
        <f t="shared" si="0"/>
        <v>0.06</v>
      </c>
    </row>
    <row r="27" spans="1:13" x14ac:dyDescent="0.4">
      <c r="A27" s="1" t="s">
        <v>27</v>
      </c>
      <c r="B27" s="1" t="s">
        <v>35</v>
      </c>
      <c r="C27" s="1" t="s">
        <v>16</v>
      </c>
      <c r="D27" s="1" t="s">
        <v>16</v>
      </c>
      <c r="E27" s="1">
        <v>1</v>
      </c>
      <c r="F27" s="1">
        <v>15</v>
      </c>
      <c r="G27" s="1">
        <v>0</v>
      </c>
      <c r="H27" s="1">
        <v>0</v>
      </c>
      <c r="I27" s="1">
        <v>0.9</v>
      </c>
      <c r="J27" s="1">
        <v>1.5</v>
      </c>
      <c r="K27" s="1">
        <v>17.399999999999999</v>
      </c>
      <c r="M27">
        <f t="shared" si="0"/>
        <v>6.0000000000000005E-2</v>
      </c>
    </row>
    <row r="28" spans="1:13" x14ac:dyDescent="0.4">
      <c r="A28" s="3" t="s">
        <v>36</v>
      </c>
      <c r="B28" s="3" t="s">
        <v>16</v>
      </c>
      <c r="C28" s="3" t="s">
        <v>16</v>
      </c>
      <c r="D28" s="3" t="s">
        <v>16</v>
      </c>
      <c r="E28" s="3">
        <v>317</v>
      </c>
      <c r="F28" s="3">
        <v>54</v>
      </c>
      <c r="G28" s="3">
        <v>0</v>
      </c>
      <c r="H28" s="3">
        <v>0</v>
      </c>
      <c r="I28" s="3">
        <v>3.24</v>
      </c>
      <c r="J28" s="3">
        <v>3.6</v>
      </c>
      <c r="K28" s="3">
        <v>60.84</v>
      </c>
      <c r="M28">
        <f t="shared" si="0"/>
        <v>6.0000000000000005E-2</v>
      </c>
    </row>
    <row r="29" spans="1:13" x14ac:dyDescent="0.4">
      <c r="A29" s="1" t="s">
        <v>36</v>
      </c>
      <c r="B29" s="1" t="s">
        <v>37</v>
      </c>
      <c r="C29" s="1" t="s">
        <v>16</v>
      </c>
      <c r="D29" s="1" t="s">
        <v>16</v>
      </c>
      <c r="E29" s="1">
        <v>80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3" x14ac:dyDescent="0.4">
      <c r="A30" s="1" t="s">
        <v>36</v>
      </c>
      <c r="B30" s="1" t="s">
        <v>38</v>
      </c>
      <c r="C30" s="1" t="s">
        <v>16</v>
      </c>
      <c r="D30" s="1" t="s">
        <v>16</v>
      </c>
      <c r="E30" s="1">
        <v>79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3" x14ac:dyDescent="0.4">
      <c r="A31" s="1" t="s">
        <v>36</v>
      </c>
      <c r="B31" s="1" t="s">
        <v>39</v>
      </c>
      <c r="C31" s="1" t="s">
        <v>16</v>
      </c>
      <c r="D31" s="1" t="s">
        <v>16</v>
      </c>
      <c r="E31" s="1">
        <v>158</v>
      </c>
      <c r="F31" s="1">
        <v>54</v>
      </c>
      <c r="G31" s="1">
        <v>0</v>
      </c>
      <c r="H31" s="1">
        <v>0</v>
      </c>
      <c r="I31" s="1">
        <v>3.24</v>
      </c>
      <c r="J31" s="1">
        <v>3.6</v>
      </c>
      <c r="K31" s="1">
        <v>60.84</v>
      </c>
      <c r="M31">
        <f t="shared" si="0"/>
        <v>6.0000000000000005E-2</v>
      </c>
    </row>
    <row r="32" spans="1:13" x14ac:dyDescent="0.4">
      <c r="A32" s="3" t="s">
        <v>40</v>
      </c>
      <c r="B32" s="3" t="s">
        <v>16</v>
      </c>
      <c r="C32" s="3" t="s">
        <v>16</v>
      </c>
      <c r="D32" s="3" t="s">
        <v>16</v>
      </c>
      <c r="E32" s="3">
        <v>92</v>
      </c>
      <c r="F32" s="3">
        <v>4150</v>
      </c>
      <c r="G32" s="3">
        <v>-63.11</v>
      </c>
      <c r="H32" s="3">
        <v>0</v>
      </c>
      <c r="I32" s="3">
        <v>245.21</v>
      </c>
      <c r="J32" s="3">
        <v>393.29</v>
      </c>
      <c r="K32" s="3">
        <v>4725.3900000000003</v>
      </c>
      <c r="M32" s="7">
        <f t="shared" si="0"/>
        <v>5.9999168071565426E-2</v>
      </c>
    </row>
    <row r="33" spans="1:13" x14ac:dyDescent="0.4">
      <c r="A33" s="1" t="s">
        <v>40</v>
      </c>
      <c r="B33" s="1" t="s">
        <v>41</v>
      </c>
      <c r="C33" s="1" t="s">
        <v>16</v>
      </c>
      <c r="D33" s="1" t="s">
        <v>16</v>
      </c>
      <c r="E33" s="1">
        <v>15</v>
      </c>
      <c r="F33" s="1">
        <v>570</v>
      </c>
      <c r="G33" s="1">
        <v>-3.97</v>
      </c>
      <c r="H33" s="1">
        <v>0</v>
      </c>
      <c r="I33" s="1">
        <v>33.96</v>
      </c>
      <c r="J33" s="1">
        <v>49</v>
      </c>
      <c r="K33" s="1">
        <v>648.99</v>
      </c>
      <c r="M33" s="7">
        <f t="shared" si="0"/>
        <v>5.999681995653941E-2</v>
      </c>
    </row>
    <row r="34" spans="1:13" x14ac:dyDescent="0.4">
      <c r="A34" s="1" t="s">
        <v>40</v>
      </c>
      <c r="B34" s="1" t="s">
        <v>42</v>
      </c>
      <c r="C34" s="1" t="s">
        <v>16</v>
      </c>
      <c r="D34" s="1" t="s">
        <v>16</v>
      </c>
      <c r="E34" s="1">
        <v>2</v>
      </c>
      <c r="F34" s="1">
        <v>86</v>
      </c>
      <c r="G34" s="1">
        <v>0</v>
      </c>
      <c r="H34" s="1">
        <v>0</v>
      </c>
      <c r="I34" s="1">
        <v>5.16</v>
      </c>
      <c r="J34" s="1">
        <v>8.6</v>
      </c>
      <c r="K34" s="1">
        <v>99.76</v>
      </c>
      <c r="M34">
        <f t="shared" si="0"/>
        <v>6.0000000000000005E-2</v>
      </c>
    </row>
    <row r="35" spans="1:13" x14ac:dyDescent="0.4">
      <c r="A35" s="1" t="s">
        <v>40</v>
      </c>
      <c r="B35" s="1" t="s">
        <v>43</v>
      </c>
      <c r="C35" s="1" t="s">
        <v>16</v>
      </c>
      <c r="D35" s="1" t="s">
        <v>16</v>
      </c>
      <c r="E35" s="1">
        <v>2</v>
      </c>
      <c r="F35" s="1">
        <v>106</v>
      </c>
      <c r="G35" s="1">
        <v>0</v>
      </c>
      <c r="H35" s="1">
        <v>0</v>
      </c>
      <c r="I35" s="1">
        <v>6.36</v>
      </c>
      <c r="J35" s="1">
        <v>10.6</v>
      </c>
      <c r="K35" s="1">
        <v>122.96</v>
      </c>
      <c r="M35">
        <f t="shared" si="0"/>
        <v>6.0000000000000005E-2</v>
      </c>
    </row>
    <row r="36" spans="1:13" x14ac:dyDescent="0.4">
      <c r="A36" s="1" t="s">
        <v>40</v>
      </c>
      <c r="B36" s="1" t="s">
        <v>44</v>
      </c>
      <c r="C36" s="1" t="s">
        <v>16</v>
      </c>
      <c r="D36" s="1" t="s">
        <v>16</v>
      </c>
      <c r="E36" s="1">
        <v>1</v>
      </c>
      <c r="F36" s="1">
        <v>58</v>
      </c>
      <c r="G36" s="1">
        <v>-9.32</v>
      </c>
      <c r="H36" s="1">
        <v>0</v>
      </c>
      <c r="I36" s="1">
        <v>2.92</v>
      </c>
      <c r="J36" s="1">
        <v>4.87</v>
      </c>
      <c r="K36" s="1">
        <v>56.47</v>
      </c>
      <c r="M36" s="7">
        <f t="shared" si="0"/>
        <v>5.9983566146261297E-2</v>
      </c>
    </row>
    <row r="37" spans="1:13" x14ac:dyDescent="0.4">
      <c r="A37" s="1" t="s">
        <v>40</v>
      </c>
      <c r="B37" s="1" t="s">
        <v>45</v>
      </c>
      <c r="C37" s="1" t="s">
        <v>16</v>
      </c>
      <c r="D37" s="1" t="s">
        <v>16</v>
      </c>
      <c r="E37" s="1">
        <v>7</v>
      </c>
      <c r="F37" s="1">
        <v>210</v>
      </c>
      <c r="G37" s="1">
        <v>0</v>
      </c>
      <c r="H37" s="1">
        <v>0</v>
      </c>
      <c r="I37" s="1">
        <v>12.6</v>
      </c>
      <c r="J37" s="1">
        <v>18</v>
      </c>
      <c r="K37" s="1">
        <v>240.6</v>
      </c>
      <c r="M37">
        <f t="shared" si="0"/>
        <v>0.06</v>
      </c>
    </row>
    <row r="38" spans="1:13" x14ac:dyDescent="0.4">
      <c r="A38" s="1" t="s">
        <v>40</v>
      </c>
      <c r="B38" s="1" t="s">
        <v>46</v>
      </c>
      <c r="C38" s="1" t="s">
        <v>16</v>
      </c>
      <c r="D38" s="1" t="s">
        <v>16</v>
      </c>
      <c r="E38" s="1">
        <v>30</v>
      </c>
      <c r="F38" s="1">
        <v>1440</v>
      </c>
      <c r="G38" s="1">
        <v>-38.200000000000003</v>
      </c>
      <c r="H38" s="1">
        <v>0</v>
      </c>
      <c r="I38" s="1">
        <v>84.11</v>
      </c>
      <c r="J38" s="1">
        <v>135.38</v>
      </c>
      <c r="K38" s="1">
        <v>1621.29</v>
      </c>
      <c r="M38" s="7">
        <f t="shared" si="0"/>
        <v>6.000142673705236E-2</v>
      </c>
    </row>
    <row r="39" spans="1:13" x14ac:dyDescent="0.4">
      <c r="A39" s="1" t="s">
        <v>40</v>
      </c>
      <c r="B39" s="1" t="s">
        <v>47</v>
      </c>
      <c r="C39" s="1" t="s">
        <v>16</v>
      </c>
      <c r="D39" s="1" t="s">
        <v>16</v>
      </c>
      <c r="E39" s="1">
        <v>35</v>
      </c>
      <c r="F39" s="1">
        <v>1680</v>
      </c>
      <c r="G39" s="1">
        <v>-11.62</v>
      </c>
      <c r="H39" s="1">
        <v>0</v>
      </c>
      <c r="I39" s="1">
        <v>100.1</v>
      </c>
      <c r="J39" s="1">
        <v>166.84</v>
      </c>
      <c r="K39" s="1">
        <v>1935.32</v>
      </c>
      <c r="M39" s="7">
        <f t="shared" si="0"/>
        <v>5.9998321725266417E-2</v>
      </c>
    </row>
    <row r="40" spans="1:13" x14ac:dyDescent="0.4">
      <c r="A40" s="3" t="s">
        <v>48</v>
      </c>
      <c r="B40" s="3" t="s">
        <v>16</v>
      </c>
      <c r="C40" s="3" t="s">
        <v>16</v>
      </c>
      <c r="D40" s="3" t="s">
        <v>16</v>
      </c>
      <c r="E40" s="3">
        <v>1847</v>
      </c>
      <c r="F40" s="3">
        <v>7974.12</v>
      </c>
      <c r="G40" s="3">
        <v>-34.03</v>
      </c>
      <c r="H40" s="3">
        <v>0</v>
      </c>
      <c r="I40" s="3">
        <v>476.41</v>
      </c>
      <c r="J40" s="3">
        <v>785.43</v>
      </c>
      <c r="K40" s="3">
        <v>9201.92</v>
      </c>
      <c r="M40" s="7">
        <f t="shared" si="0"/>
        <v>6.0000579338521355E-2</v>
      </c>
    </row>
    <row r="41" spans="1:13" x14ac:dyDescent="0.4">
      <c r="A41" s="1" t="s">
        <v>48</v>
      </c>
      <c r="B41" s="1" t="s">
        <v>49</v>
      </c>
      <c r="C41" s="1" t="s">
        <v>50</v>
      </c>
      <c r="D41" s="1" t="s">
        <v>16</v>
      </c>
      <c r="E41" s="1">
        <v>3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3" x14ac:dyDescent="0.4">
      <c r="A42" s="1" t="s">
        <v>48</v>
      </c>
      <c r="B42" s="1" t="s">
        <v>49</v>
      </c>
      <c r="C42" s="1" t="s">
        <v>51</v>
      </c>
      <c r="D42" s="1" t="s">
        <v>16</v>
      </c>
      <c r="E42" s="1">
        <v>29</v>
      </c>
      <c r="F42" s="1">
        <v>492.42</v>
      </c>
      <c r="G42" s="1">
        <v>0</v>
      </c>
      <c r="H42" s="1">
        <v>0</v>
      </c>
      <c r="I42" s="1">
        <v>29.55</v>
      </c>
      <c r="J42" s="1">
        <v>49.24</v>
      </c>
      <c r="K42" s="1">
        <v>571.21</v>
      </c>
      <c r="M42" s="7">
        <f t="shared" si="0"/>
        <v>6.0009747776288536E-2</v>
      </c>
    </row>
    <row r="43" spans="1:13" x14ac:dyDescent="0.4">
      <c r="A43" s="1" t="s">
        <v>48</v>
      </c>
      <c r="B43" s="1" t="s">
        <v>52</v>
      </c>
      <c r="C43" s="1" t="s">
        <v>16</v>
      </c>
      <c r="D43" s="1" t="s">
        <v>16</v>
      </c>
      <c r="E43" s="1">
        <v>1</v>
      </c>
      <c r="F43" s="1">
        <v>299</v>
      </c>
      <c r="G43" s="1">
        <v>0</v>
      </c>
      <c r="H43" s="1">
        <v>0</v>
      </c>
      <c r="I43" s="1">
        <v>17.940000000000001</v>
      </c>
      <c r="J43" s="1">
        <v>29.9</v>
      </c>
      <c r="K43" s="1">
        <v>346.84</v>
      </c>
      <c r="M43">
        <f t="shared" si="0"/>
        <v>6.0000000000000005E-2</v>
      </c>
    </row>
    <row r="44" spans="1:13" x14ac:dyDescent="0.4">
      <c r="A44" s="1" t="s">
        <v>48</v>
      </c>
      <c r="B44" s="1" t="s">
        <v>53</v>
      </c>
      <c r="C44" s="1" t="s">
        <v>16</v>
      </c>
      <c r="D44" s="1" t="s">
        <v>16</v>
      </c>
      <c r="E44" s="1">
        <v>5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3" x14ac:dyDescent="0.4">
      <c r="A45" s="1" t="s">
        <v>48</v>
      </c>
      <c r="B45" s="1" t="s">
        <v>54</v>
      </c>
      <c r="C45" s="1" t="s">
        <v>16</v>
      </c>
      <c r="D45" s="1" t="s">
        <v>16</v>
      </c>
      <c r="E45" s="1">
        <v>1276</v>
      </c>
      <c r="F45" s="1">
        <v>3572.8</v>
      </c>
      <c r="G45" s="1">
        <v>-3.59</v>
      </c>
      <c r="H45" s="1">
        <v>0</v>
      </c>
      <c r="I45" s="1">
        <v>214.15</v>
      </c>
      <c r="J45" s="1">
        <v>350.23</v>
      </c>
      <c r="K45" s="1">
        <v>4133.59</v>
      </c>
      <c r="M45" s="7">
        <f t="shared" si="0"/>
        <v>5.99992715474853E-2</v>
      </c>
    </row>
    <row r="46" spans="1:13" x14ac:dyDescent="0.4">
      <c r="A46" s="1" t="s">
        <v>48</v>
      </c>
      <c r="B46" s="1" t="s">
        <v>55</v>
      </c>
      <c r="C46" s="1" t="s">
        <v>16</v>
      </c>
      <c r="D46" s="1" t="s">
        <v>16</v>
      </c>
      <c r="E46" s="1">
        <v>1</v>
      </c>
      <c r="F46" s="1">
        <v>18.899999999999999</v>
      </c>
      <c r="G46" s="1">
        <v>0</v>
      </c>
      <c r="H46" s="1">
        <v>0</v>
      </c>
      <c r="I46" s="1">
        <v>1.1299999999999999</v>
      </c>
      <c r="J46" s="1">
        <v>0</v>
      </c>
      <c r="K46" s="1">
        <v>20.03</v>
      </c>
      <c r="M46" s="7">
        <f t="shared" si="0"/>
        <v>5.9788359788359786E-2</v>
      </c>
    </row>
    <row r="47" spans="1:13" x14ac:dyDescent="0.4">
      <c r="A47" s="1" t="s">
        <v>48</v>
      </c>
      <c r="B47" s="1" t="s">
        <v>56</v>
      </c>
      <c r="C47" s="1" t="s">
        <v>16</v>
      </c>
      <c r="D47" s="1" t="s">
        <v>16</v>
      </c>
      <c r="E47" s="1">
        <v>98</v>
      </c>
      <c r="F47" s="1">
        <v>588</v>
      </c>
      <c r="G47" s="1">
        <v>-6.78</v>
      </c>
      <c r="H47" s="1">
        <v>0</v>
      </c>
      <c r="I47" s="1">
        <v>34.869999999999997</v>
      </c>
      <c r="J47" s="1">
        <v>58.12</v>
      </c>
      <c r="K47" s="1">
        <v>674.22</v>
      </c>
      <c r="M47" s="7">
        <f t="shared" si="0"/>
        <v>5.9994494339492783E-2</v>
      </c>
    </row>
    <row r="48" spans="1:13" x14ac:dyDescent="0.4">
      <c r="A48" s="1" t="s">
        <v>48</v>
      </c>
      <c r="B48" s="1" t="s">
        <v>57</v>
      </c>
      <c r="C48" s="1" t="s">
        <v>50</v>
      </c>
      <c r="D48" s="1" t="s">
        <v>16</v>
      </c>
      <c r="E48" s="1">
        <v>5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3" x14ac:dyDescent="0.4">
      <c r="A49" s="1" t="s">
        <v>48</v>
      </c>
      <c r="B49" s="1" t="s">
        <v>57</v>
      </c>
      <c r="C49" s="1" t="s">
        <v>51</v>
      </c>
      <c r="D49" s="1" t="s">
        <v>16</v>
      </c>
      <c r="E49" s="1">
        <v>429</v>
      </c>
      <c r="F49" s="1">
        <v>3003</v>
      </c>
      <c r="G49" s="1">
        <v>-23.66</v>
      </c>
      <c r="H49" s="1">
        <v>0</v>
      </c>
      <c r="I49" s="1">
        <v>178.76</v>
      </c>
      <c r="J49" s="1">
        <v>297.93</v>
      </c>
      <c r="K49" s="1">
        <v>3456.03</v>
      </c>
      <c r="M49">
        <f t="shared" si="0"/>
        <v>5.9999865742077101E-2</v>
      </c>
    </row>
    <row r="50" spans="1:13" x14ac:dyDescent="0.4">
      <c r="A50" s="3" t="s">
        <v>58</v>
      </c>
      <c r="B50" s="3" t="s">
        <v>16</v>
      </c>
      <c r="C50" s="3" t="s">
        <v>16</v>
      </c>
      <c r="D50" s="3" t="s">
        <v>16</v>
      </c>
      <c r="E50" s="3">
        <v>115</v>
      </c>
      <c r="F50" s="3">
        <v>1789.4</v>
      </c>
      <c r="G50" s="3">
        <v>-12.36</v>
      </c>
      <c r="H50" s="3">
        <v>0</v>
      </c>
      <c r="I50" s="3">
        <v>106.62</v>
      </c>
      <c r="J50" s="3">
        <v>153.13999999999999</v>
      </c>
      <c r="K50" s="3">
        <v>2036.81</v>
      </c>
      <c r="M50" s="7">
        <f t="shared" si="0"/>
        <v>5.9998649439517396E-2</v>
      </c>
    </row>
    <row r="51" spans="1:13" x14ac:dyDescent="0.4">
      <c r="A51" s="1" t="s">
        <v>58</v>
      </c>
      <c r="B51" s="1" t="s">
        <v>59</v>
      </c>
      <c r="C51" s="1" t="s">
        <v>16</v>
      </c>
      <c r="D51" s="1" t="s">
        <v>16</v>
      </c>
      <c r="E51" s="1">
        <v>10</v>
      </c>
      <c r="F51" s="1">
        <v>148</v>
      </c>
      <c r="G51" s="1">
        <v>0</v>
      </c>
      <c r="H51" s="1">
        <v>0</v>
      </c>
      <c r="I51" s="1">
        <v>8.8800000000000008</v>
      </c>
      <c r="J51" s="1">
        <v>13.32</v>
      </c>
      <c r="K51" s="1">
        <v>170.2</v>
      </c>
      <c r="M51">
        <f t="shared" si="0"/>
        <v>6.0000000000000005E-2</v>
      </c>
    </row>
    <row r="52" spans="1:13" x14ac:dyDescent="0.4">
      <c r="A52" s="1" t="s">
        <v>58</v>
      </c>
      <c r="B52" s="1" t="s">
        <v>60</v>
      </c>
      <c r="C52" s="1" t="s">
        <v>16</v>
      </c>
      <c r="D52" s="1" t="s">
        <v>16</v>
      </c>
      <c r="E52" s="1">
        <v>10</v>
      </c>
      <c r="F52" s="1">
        <v>148</v>
      </c>
      <c r="G52" s="1">
        <v>0</v>
      </c>
      <c r="H52" s="1">
        <v>0</v>
      </c>
      <c r="I52" s="1">
        <v>8.8800000000000008</v>
      </c>
      <c r="J52" s="1">
        <v>11.84</v>
      </c>
      <c r="K52" s="1">
        <v>168.72</v>
      </c>
      <c r="M52">
        <f t="shared" si="0"/>
        <v>6.0000000000000005E-2</v>
      </c>
    </row>
    <row r="53" spans="1:13" x14ac:dyDescent="0.4">
      <c r="A53" s="1" t="s">
        <v>58</v>
      </c>
      <c r="B53" s="1" t="s">
        <v>61</v>
      </c>
      <c r="C53" s="1" t="s">
        <v>16</v>
      </c>
      <c r="D53" s="1" t="s">
        <v>16</v>
      </c>
      <c r="E53" s="1">
        <v>1</v>
      </c>
      <c r="F53" s="1">
        <v>14.8</v>
      </c>
      <c r="G53" s="1">
        <v>0</v>
      </c>
      <c r="H53" s="1">
        <v>0</v>
      </c>
      <c r="I53" s="1">
        <v>0.89</v>
      </c>
      <c r="J53" s="1">
        <v>1.48</v>
      </c>
      <c r="K53" s="1">
        <v>17.170000000000002</v>
      </c>
      <c r="M53" s="7">
        <f t="shared" si="0"/>
        <v>6.0135135135135132E-2</v>
      </c>
    </row>
    <row r="54" spans="1:13" x14ac:dyDescent="0.4">
      <c r="A54" s="1" t="s">
        <v>58</v>
      </c>
      <c r="B54" s="1" t="s">
        <v>62</v>
      </c>
      <c r="C54" s="1" t="s">
        <v>16</v>
      </c>
      <c r="D54" s="1" t="s">
        <v>16</v>
      </c>
      <c r="E54" s="1">
        <v>11</v>
      </c>
      <c r="F54" s="1">
        <v>162.80000000000001</v>
      </c>
      <c r="G54" s="1">
        <v>0</v>
      </c>
      <c r="H54" s="1">
        <v>0</v>
      </c>
      <c r="I54" s="1">
        <v>9.77</v>
      </c>
      <c r="J54" s="1">
        <v>14.8</v>
      </c>
      <c r="K54" s="1">
        <v>187.37</v>
      </c>
      <c r="M54" s="7">
        <f t="shared" si="0"/>
        <v>6.0012285012285005E-2</v>
      </c>
    </row>
    <row r="55" spans="1:13" x14ac:dyDescent="0.4">
      <c r="A55" s="1" t="s">
        <v>58</v>
      </c>
      <c r="B55" s="1" t="s">
        <v>63</v>
      </c>
      <c r="C55" s="1" t="s">
        <v>16</v>
      </c>
      <c r="D55" s="1" t="s">
        <v>16</v>
      </c>
      <c r="E55" s="1">
        <v>31</v>
      </c>
      <c r="F55" s="1">
        <v>492.6</v>
      </c>
      <c r="G55" s="1">
        <v>-2.2999999999999998</v>
      </c>
      <c r="H55" s="1">
        <v>0</v>
      </c>
      <c r="I55" s="1">
        <v>29.42</v>
      </c>
      <c r="J55" s="1">
        <v>39.270000000000003</v>
      </c>
      <c r="K55" s="1">
        <v>558.99</v>
      </c>
      <c r="M55" s="7">
        <f t="shared" si="0"/>
        <v>6.0004079135223334E-2</v>
      </c>
    </row>
    <row r="56" spans="1:13" x14ac:dyDescent="0.4">
      <c r="A56" s="1" t="s">
        <v>58</v>
      </c>
      <c r="B56" s="1" t="s">
        <v>64</v>
      </c>
      <c r="C56" s="1" t="s">
        <v>16</v>
      </c>
      <c r="D56" s="1" t="s">
        <v>16</v>
      </c>
      <c r="E56" s="1">
        <v>1</v>
      </c>
      <c r="F56" s="1">
        <v>22</v>
      </c>
      <c r="G56" s="1">
        <v>0</v>
      </c>
      <c r="H56" s="1">
        <v>0</v>
      </c>
      <c r="I56" s="1">
        <v>1.32</v>
      </c>
      <c r="J56" s="1">
        <v>2.2000000000000002</v>
      </c>
      <c r="K56" s="1">
        <v>25.52</v>
      </c>
      <c r="M56">
        <f t="shared" si="0"/>
        <v>6.0000000000000005E-2</v>
      </c>
    </row>
    <row r="57" spans="1:13" x14ac:dyDescent="0.4">
      <c r="A57" s="1" t="s">
        <v>58</v>
      </c>
      <c r="B57" s="1" t="s">
        <v>65</v>
      </c>
      <c r="C57" s="1" t="s">
        <v>16</v>
      </c>
      <c r="D57" s="1" t="s">
        <v>16</v>
      </c>
      <c r="E57" s="1">
        <v>39</v>
      </c>
      <c r="F57" s="1">
        <v>577.20000000000005</v>
      </c>
      <c r="G57" s="1">
        <v>-3.86</v>
      </c>
      <c r="H57" s="1">
        <v>0</v>
      </c>
      <c r="I57" s="1">
        <v>34.4</v>
      </c>
      <c r="J57" s="1">
        <v>49.93</v>
      </c>
      <c r="K57" s="1">
        <v>657.67</v>
      </c>
      <c r="M57" s="7">
        <f t="shared" si="0"/>
        <v>5.9999302333693785E-2</v>
      </c>
    </row>
    <row r="58" spans="1:13" x14ac:dyDescent="0.4">
      <c r="A58" s="1" t="s">
        <v>58</v>
      </c>
      <c r="B58" s="1" t="s">
        <v>66</v>
      </c>
      <c r="C58" s="1" t="s">
        <v>16</v>
      </c>
      <c r="D58" s="1" t="s">
        <v>16</v>
      </c>
      <c r="E58" s="1">
        <v>10</v>
      </c>
      <c r="F58" s="1">
        <v>148</v>
      </c>
      <c r="G58" s="1">
        <v>-2.4</v>
      </c>
      <c r="H58" s="1">
        <v>0</v>
      </c>
      <c r="I58" s="1">
        <v>8.74</v>
      </c>
      <c r="J58" s="1">
        <v>13.08</v>
      </c>
      <c r="K58" s="1">
        <v>167.42</v>
      </c>
      <c r="M58" s="7">
        <f t="shared" si="0"/>
        <v>6.0027472527472529E-2</v>
      </c>
    </row>
    <row r="59" spans="1:13" x14ac:dyDescent="0.4">
      <c r="A59" s="1" t="s">
        <v>58</v>
      </c>
      <c r="B59" s="1" t="s">
        <v>67</v>
      </c>
      <c r="C59" s="1" t="s">
        <v>68</v>
      </c>
      <c r="D59" s="1" t="s">
        <v>16</v>
      </c>
      <c r="E59" s="1">
        <v>2</v>
      </c>
      <c r="F59" s="1">
        <v>76</v>
      </c>
      <c r="G59" s="1">
        <v>-3.8</v>
      </c>
      <c r="H59" s="1">
        <v>0</v>
      </c>
      <c r="I59" s="1">
        <v>4.33</v>
      </c>
      <c r="J59" s="1">
        <v>7.22</v>
      </c>
      <c r="K59" s="1">
        <v>83.75</v>
      </c>
      <c r="M59" s="7">
        <f t="shared" si="0"/>
        <v>5.997229916897507E-2</v>
      </c>
    </row>
    <row r="60" spans="1:13" x14ac:dyDescent="0.4">
      <c r="A60" s="3" t="s">
        <v>69</v>
      </c>
      <c r="B60" s="3" t="s">
        <v>16</v>
      </c>
      <c r="C60" s="3" t="s">
        <v>16</v>
      </c>
      <c r="D60" s="3" t="s">
        <v>16</v>
      </c>
      <c r="E60" s="3">
        <v>94</v>
      </c>
      <c r="F60" s="3">
        <v>1640</v>
      </c>
      <c r="G60" s="3">
        <v>-48.33</v>
      </c>
      <c r="H60" s="3">
        <v>0</v>
      </c>
      <c r="I60" s="3">
        <v>95.5</v>
      </c>
      <c r="J60" s="3">
        <v>122.38</v>
      </c>
      <c r="K60" s="3">
        <v>1809.55</v>
      </c>
      <c r="M60">
        <f t="shared" si="0"/>
        <v>5.9999874345812887E-2</v>
      </c>
    </row>
    <row r="61" spans="1:13" x14ac:dyDescent="0.4">
      <c r="A61" s="1" t="s">
        <v>69</v>
      </c>
      <c r="B61" s="1" t="s">
        <v>70</v>
      </c>
      <c r="C61" s="1" t="s">
        <v>16</v>
      </c>
      <c r="D61" s="1" t="s">
        <v>16</v>
      </c>
      <c r="E61" s="1">
        <v>8</v>
      </c>
      <c r="F61" s="1">
        <v>121.2</v>
      </c>
      <c r="G61" s="1">
        <v>0</v>
      </c>
      <c r="H61" s="1">
        <v>0</v>
      </c>
      <c r="I61" s="1">
        <v>7.27</v>
      </c>
      <c r="J61" s="1">
        <v>7.68</v>
      </c>
      <c r="K61" s="1">
        <v>136.15</v>
      </c>
      <c r="M61" s="7">
        <f t="shared" si="0"/>
        <v>5.9983498349834977E-2</v>
      </c>
    </row>
    <row r="62" spans="1:13" x14ac:dyDescent="0.4">
      <c r="A62" s="1" t="s">
        <v>69</v>
      </c>
      <c r="B62" s="1" t="s">
        <v>71</v>
      </c>
      <c r="C62" s="1" t="s">
        <v>16</v>
      </c>
      <c r="D62" s="1" t="s">
        <v>16</v>
      </c>
      <c r="E62" s="1">
        <v>3</v>
      </c>
      <c r="F62" s="1">
        <v>50</v>
      </c>
      <c r="G62" s="1">
        <v>0</v>
      </c>
      <c r="H62" s="1">
        <v>0</v>
      </c>
      <c r="I62" s="1">
        <v>3</v>
      </c>
      <c r="J62" s="1">
        <v>1.48</v>
      </c>
      <c r="K62" s="1">
        <v>54.48</v>
      </c>
      <c r="M62">
        <f t="shared" si="0"/>
        <v>0.06</v>
      </c>
    </row>
    <row r="63" spans="1:13" x14ac:dyDescent="0.4">
      <c r="A63" s="1" t="s">
        <v>69</v>
      </c>
      <c r="B63" s="1" t="s">
        <v>72</v>
      </c>
      <c r="C63" s="1" t="s">
        <v>16</v>
      </c>
      <c r="D63" s="1" t="s">
        <v>16</v>
      </c>
      <c r="E63" s="1">
        <v>3</v>
      </c>
      <c r="F63" s="1">
        <v>50</v>
      </c>
      <c r="G63" s="1">
        <v>0</v>
      </c>
      <c r="H63" s="1">
        <v>0</v>
      </c>
      <c r="I63" s="1">
        <v>3</v>
      </c>
      <c r="J63" s="1">
        <v>3.52</v>
      </c>
      <c r="K63" s="1">
        <v>56.52</v>
      </c>
      <c r="M63">
        <f t="shared" si="0"/>
        <v>0.06</v>
      </c>
    </row>
    <row r="64" spans="1:13" x14ac:dyDescent="0.4">
      <c r="A64" s="1" t="s">
        <v>69</v>
      </c>
      <c r="B64" s="1" t="s">
        <v>73</v>
      </c>
      <c r="C64" s="1" t="s">
        <v>16</v>
      </c>
      <c r="D64" s="1" t="s">
        <v>16</v>
      </c>
      <c r="E64" s="1">
        <v>2</v>
      </c>
      <c r="F64" s="1">
        <v>32.4</v>
      </c>
      <c r="G64" s="1">
        <v>0</v>
      </c>
      <c r="H64" s="1">
        <v>0</v>
      </c>
      <c r="I64" s="1">
        <v>1.94</v>
      </c>
      <c r="J64" s="1">
        <v>1.76</v>
      </c>
      <c r="K64" s="1">
        <v>36.1</v>
      </c>
      <c r="M64" s="7">
        <f t="shared" si="0"/>
        <v>5.9876543209876544E-2</v>
      </c>
    </row>
    <row r="65" spans="1:13" x14ac:dyDescent="0.4">
      <c r="A65" s="1" t="s">
        <v>69</v>
      </c>
      <c r="B65" s="1" t="s">
        <v>74</v>
      </c>
      <c r="C65" s="1" t="s">
        <v>16</v>
      </c>
      <c r="D65" s="1" t="s">
        <v>16</v>
      </c>
      <c r="E65" s="1">
        <v>1</v>
      </c>
      <c r="F65" s="1">
        <v>18.8</v>
      </c>
      <c r="G65" s="1">
        <v>0</v>
      </c>
      <c r="H65" s="1">
        <v>0</v>
      </c>
      <c r="I65" s="1">
        <v>1.1299999999999999</v>
      </c>
      <c r="J65" s="1">
        <v>0</v>
      </c>
      <c r="K65" s="1">
        <v>19.93</v>
      </c>
      <c r="M65" s="7">
        <f t="shared" si="0"/>
        <v>6.0106382978723394E-2</v>
      </c>
    </row>
    <row r="66" spans="1:13" x14ac:dyDescent="0.4">
      <c r="A66" s="1" t="s">
        <v>69</v>
      </c>
      <c r="B66" s="1" t="s">
        <v>75</v>
      </c>
      <c r="C66" s="1" t="s">
        <v>16</v>
      </c>
      <c r="D66" s="1" t="s">
        <v>16</v>
      </c>
      <c r="E66" s="1">
        <v>2</v>
      </c>
      <c r="F66" s="1">
        <v>32.4</v>
      </c>
      <c r="G66" s="1">
        <v>0</v>
      </c>
      <c r="H66" s="1">
        <v>0</v>
      </c>
      <c r="I66" s="1">
        <v>1.94</v>
      </c>
      <c r="J66" s="1">
        <v>1.48</v>
      </c>
      <c r="K66" s="1">
        <v>35.82</v>
      </c>
      <c r="M66" s="7">
        <f t="shared" si="0"/>
        <v>5.9876543209876544E-2</v>
      </c>
    </row>
    <row r="67" spans="1:13" x14ac:dyDescent="0.4">
      <c r="A67" s="1" t="s">
        <v>69</v>
      </c>
      <c r="B67" s="1" t="s">
        <v>76</v>
      </c>
      <c r="C67" s="1" t="s">
        <v>16</v>
      </c>
      <c r="D67" s="1" t="s">
        <v>16</v>
      </c>
      <c r="E67" s="1">
        <v>35</v>
      </c>
      <c r="F67" s="1">
        <v>588</v>
      </c>
      <c r="G67" s="1">
        <v>-10.050000000000001</v>
      </c>
      <c r="H67" s="1">
        <v>0</v>
      </c>
      <c r="I67" s="1">
        <v>34.68</v>
      </c>
      <c r="J67" s="1">
        <v>52.92</v>
      </c>
      <c r="K67" s="1">
        <v>665.55</v>
      </c>
      <c r="M67" s="7">
        <f t="shared" si="0"/>
        <v>6.00051907604464E-2</v>
      </c>
    </row>
    <row r="68" spans="1:13" x14ac:dyDescent="0.4">
      <c r="A68" s="1" t="s">
        <v>69</v>
      </c>
      <c r="B68" s="1" t="s">
        <v>77</v>
      </c>
      <c r="C68" s="1" t="s">
        <v>16</v>
      </c>
      <c r="D68" s="1" t="s">
        <v>16</v>
      </c>
      <c r="E68" s="1">
        <v>20</v>
      </c>
      <c r="F68" s="1">
        <v>376</v>
      </c>
      <c r="G68" s="1">
        <v>-1.88</v>
      </c>
      <c r="H68" s="1">
        <v>0</v>
      </c>
      <c r="I68" s="1">
        <v>22.45</v>
      </c>
      <c r="J68" s="1">
        <v>29.89</v>
      </c>
      <c r="K68" s="1">
        <v>426.46</v>
      </c>
      <c r="M68" s="7">
        <f t="shared" si="0"/>
        <v>6.0007484229658931E-2</v>
      </c>
    </row>
    <row r="69" spans="1:13" x14ac:dyDescent="0.4">
      <c r="A69" s="1" t="s">
        <v>69</v>
      </c>
      <c r="B69" s="1" t="s">
        <v>78</v>
      </c>
      <c r="C69" s="1" t="s">
        <v>16</v>
      </c>
      <c r="D69" s="1" t="s">
        <v>16</v>
      </c>
      <c r="E69" s="1">
        <v>3</v>
      </c>
      <c r="F69" s="1">
        <v>59.2</v>
      </c>
      <c r="G69" s="1">
        <v>-21.6</v>
      </c>
      <c r="H69" s="1">
        <v>0</v>
      </c>
      <c r="I69" s="1">
        <v>2.2599999999999998</v>
      </c>
      <c r="J69" s="1">
        <v>1.88</v>
      </c>
      <c r="K69" s="1">
        <v>41.74</v>
      </c>
      <c r="M69" s="7">
        <f t="shared" si="0"/>
        <v>6.0106382978723394E-2</v>
      </c>
    </row>
    <row r="70" spans="1:13" x14ac:dyDescent="0.4">
      <c r="A70" s="1" t="s">
        <v>69</v>
      </c>
      <c r="B70" s="1" t="s">
        <v>79</v>
      </c>
      <c r="C70" s="1" t="s">
        <v>16</v>
      </c>
      <c r="D70" s="1" t="s">
        <v>16</v>
      </c>
      <c r="E70" s="1">
        <v>8</v>
      </c>
      <c r="F70" s="1">
        <v>126.8</v>
      </c>
      <c r="G70" s="1">
        <v>0</v>
      </c>
      <c r="H70" s="1">
        <v>0</v>
      </c>
      <c r="I70" s="1">
        <v>7.61</v>
      </c>
      <c r="J70" s="1">
        <v>7.68</v>
      </c>
      <c r="K70" s="1">
        <v>142.09</v>
      </c>
      <c r="M70" s="7">
        <f t="shared" si="0"/>
        <v>6.0015772870662468E-2</v>
      </c>
    </row>
    <row r="71" spans="1:13" x14ac:dyDescent="0.4">
      <c r="A71" s="1" t="s">
        <v>69</v>
      </c>
      <c r="B71" s="1" t="s">
        <v>80</v>
      </c>
      <c r="C71" s="1" t="s">
        <v>16</v>
      </c>
      <c r="D71" s="1" t="s">
        <v>16</v>
      </c>
      <c r="E71" s="1">
        <v>3</v>
      </c>
      <c r="F71" s="1">
        <v>44.4</v>
      </c>
      <c r="G71" s="1">
        <v>0</v>
      </c>
      <c r="H71" s="1">
        <v>0</v>
      </c>
      <c r="I71" s="1">
        <v>2.66</v>
      </c>
      <c r="J71" s="1">
        <v>1.48</v>
      </c>
      <c r="K71" s="1">
        <v>48.54</v>
      </c>
      <c r="M71" s="7">
        <f t="shared" si="0"/>
        <v>5.9909909909909916E-2</v>
      </c>
    </row>
    <row r="72" spans="1:13" x14ac:dyDescent="0.4">
      <c r="A72" s="1" t="s">
        <v>69</v>
      </c>
      <c r="B72" s="1" t="s">
        <v>81</v>
      </c>
      <c r="C72" s="1" t="s">
        <v>16</v>
      </c>
      <c r="D72" s="1" t="s">
        <v>16</v>
      </c>
      <c r="E72" s="1">
        <v>3</v>
      </c>
      <c r="F72" s="1">
        <v>47.2</v>
      </c>
      <c r="G72" s="1">
        <v>-14.8</v>
      </c>
      <c r="H72" s="1">
        <v>0</v>
      </c>
      <c r="I72" s="1">
        <v>1.94</v>
      </c>
      <c r="J72" s="1">
        <v>3.24</v>
      </c>
      <c r="K72" s="1">
        <v>37.58</v>
      </c>
      <c r="M72" s="7">
        <f t="shared" ref="M72:M135" si="1">I72/(F72+G72)</f>
        <v>5.987654320987653E-2</v>
      </c>
    </row>
    <row r="73" spans="1:13" x14ac:dyDescent="0.4">
      <c r="A73" s="1" t="s">
        <v>69</v>
      </c>
      <c r="B73" s="1" t="s">
        <v>82</v>
      </c>
      <c r="C73" s="1" t="s">
        <v>16</v>
      </c>
      <c r="D73" s="1" t="s">
        <v>16</v>
      </c>
      <c r="E73" s="1">
        <v>1</v>
      </c>
      <c r="F73" s="1">
        <v>17.600000000000001</v>
      </c>
      <c r="G73" s="1">
        <v>0</v>
      </c>
      <c r="H73" s="1">
        <v>0</v>
      </c>
      <c r="I73" s="1">
        <v>1.06</v>
      </c>
      <c r="J73" s="1">
        <v>1.76</v>
      </c>
      <c r="K73" s="1">
        <v>20.420000000000002</v>
      </c>
      <c r="M73" s="7">
        <f t="shared" si="1"/>
        <v>6.0227272727272727E-2</v>
      </c>
    </row>
    <row r="74" spans="1:13" x14ac:dyDescent="0.4">
      <c r="A74" s="1" t="s">
        <v>69</v>
      </c>
      <c r="B74" s="1" t="s">
        <v>83</v>
      </c>
      <c r="C74" s="1" t="s">
        <v>16</v>
      </c>
      <c r="D74" s="1" t="s">
        <v>16</v>
      </c>
      <c r="E74" s="1">
        <v>2</v>
      </c>
      <c r="F74" s="1">
        <v>76</v>
      </c>
      <c r="G74" s="1">
        <v>0</v>
      </c>
      <c r="H74" s="1">
        <v>0</v>
      </c>
      <c r="I74" s="1">
        <v>4.5599999999999996</v>
      </c>
      <c r="J74" s="1">
        <v>7.6</v>
      </c>
      <c r="K74" s="1">
        <v>88.16</v>
      </c>
      <c r="M74">
        <f t="shared" si="1"/>
        <v>0.06</v>
      </c>
    </row>
    <row r="75" spans="1:13" x14ac:dyDescent="0.4">
      <c r="A75" s="3" t="s">
        <v>84</v>
      </c>
      <c r="B75" s="3" t="s">
        <v>16</v>
      </c>
      <c r="C75" s="3" t="s">
        <v>16</v>
      </c>
      <c r="D75" s="3" t="s">
        <v>16</v>
      </c>
      <c r="E75" s="3">
        <v>1</v>
      </c>
      <c r="F75" s="3">
        <v>98</v>
      </c>
      <c r="G75" s="3">
        <v>0</v>
      </c>
      <c r="H75" s="3">
        <v>0</v>
      </c>
      <c r="I75" s="3">
        <v>5.88</v>
      </c>
      <c r="J75" s="3">
        <v>9.8000000000000007</v>
      </c>
      <c r="K75" s="3">
        <v>113.68</v>
      </c>
      <c r="M75">
        <f t="shared" si="1"/>
        <v>0.06</v>
      </c>
    </row>
    <row r="76" spans="1:13" x14ac:dyDescent="0.4">
      <c r="A76" s="1" t="s">
        <v>84</v>
      </c>
      <c r="B76" s="1" t="s">
        <v>85</v>
      </c>
      <c r="C76" s="1" t="s">
        <v>16</v>
      </c>
      <c r="D76" s="1" t="s">
        <v>16</v>
      </c>
      <c r="E76" s="1">
        <v>1</v>
      </c>
      <c r="F76" s="1">
        <v>98</v>
      </c>
      <c r="G76" s="1">
        <v>0</v>
      </c>
      <c r="H76" s="1">
        <v>0</v>
      </c>
      <c r="I76" s="1">
        <v>5.88</v>
      </c>
      <c r="J76" s="1">
        <v>9.8000000000000007</v>
      </c>
      <c r="K76" s="1">
        <v>113.68</v>
      </c>
      <c r="M76">
        <f t="shared" si="1"/>
        <v>0.06</v>
      </c>
    </row>
    <row r="77" spans="1:13" x14ac:dyDescent="0.4">
      <c r="A77" s="3" t="s">
        <v>86</v>
      </c>
      <c r="B77" s="3" t="s">
        <v>16</v>
      </c>
      <c r="C77" s="3" t="s">
        <v>16</v>
      </c>
      <c r="D77" s="3" t="s">
        <v>16</v>
      </c>
      <c r="E77" s="3">
        <v>56</v>
      </c>
      <c r="F77" s="3">
        <v>1848</v>
      </c>
      <c r="G77" s="3">
        <v>-31.01</v>
      </c>
      <c r="H77" s="3">
        <v>0</v>
      </c>
      <c r="I77" s="3">
        <v>109.02</v>
      </c>
      <c r="J77" s="3">
        <v>170.16</v>
      </c>
      <c r="K77" s="3">
        <v>2096.17</v>
      </c>
      <c r="M77">
        <f t="shared" si="1"/>
        <v>6.0000330216456885E-2</v>
      </c>
    </row>
    <row r="78" spans="1:13" x14ac:dyDescent="0.4">
      <c r="A78" s="1" t="s">
        <v>86</v>
      </c>
      <c r="B78" s="1" t="s">
        <v>87</v>
      </c>
      <c r="C78" s="1" t="s">
        <v>88</v>
      </c>
      <c r="D78" s="1" t="s">
        <v>16</v>
      </c>
      <c r="E78" s="1">
        <v>1</v>
      </c>
      <c r="F78" s="1">
        <v>48</v>
      </c>
      <c r="G78" s="1">
        <v>0</v>
      </c>
      <c r="H78" s="1">
        <v>0</v>
      </c>
      <c r="I78" s="1">
        <v>2.88</v>
      </c>
      <c r="J78" s="1">
        <v>4.8</v>
      </c>
      <c r="K78" s="1">
        <v>55.68</v>
      </c>
      <c r="M78">
        <f t="shared" si="1"/>
        <v>0.06</v>
      </c>
    </row>
    <row r="79" spans="1:13" x14ac:dyDescent="0.4">
      <c r="A79" s="1" t="s">
        <v>86</v>
      </c>
      <c r="B79" s="1" t="s">
        <v>87</v>
      </c>
      <c r="C79" s="1" t="s">
        <v>68</v>
      </c>
      <c r="D79" s="1" t="s">
        <v>16</v>
      </c>
      <c r="E79" s="1">
        <v>9</v>
      </c>
      <c r="F79" s="1">
        <v>252</v>
      </c>
      <c r="G79" s="1">
        <v>0</v>
      </c>
      <c r="H79" s="1">
        <v>0</v>
      </c>
      <c r="I79" s="1">
        <v>15.12</v>
      </c>
      <c r="J79" s="1">
        <v>25.2</v>
      </c>
      <c r="K79" s="1">
        <v>292.32</v>
      </c>
      <c r="M79">
        <f t="shared" si="1"/>
        <v>0.06</v>
      </c>
    </row>
    <row r="80" spans="1:13" x14ac:dyDescent="0.4">
      <c r="A80" s="1" t="s">
        <v>86</v>
      </c>
      <c r="B80" s="1" t="s">
        <v>89</v>
      </c>
      <c r="C80" s="1" t="s">
        <v>68</v>
      </c>
      <c r="D80" s="1" t="s">
        <v>16</v>
      </c>
      <c r="E80" s="1">
        <v>1</v>
      </c>
      <c r="F80" s="1">
        <v>28</v>
      </c>
      <c r="G80" s="1">
        <v>0</v>
      </c>
      <c r="H80" s="1">
        <v>0</v>
      </c>
      <c r="I80" s="1">
        <v>1.68</v>
      </c>
      <c r="J80" s="1">
        <v>2.8</v>
      </c>
      <c r="K80" s="1">
        <v>32.479999999999997</v>
      </c>
      <c r="M80">
        <f t="shared" si="1"/>
        <v>0.06</v>
      </c>
    </row>
    <row r="81" spans="1:13" x14ac:dyDescent="0.4">
      <c r="A81" s="1" t="s">
        <v>86</v>
      </c>
      <c r="B81" s="1" t="s">
        <v>90</v>
      </c>
      <c r="C81" s="1" t="s">
        <v>68</v>
      </c>
      <c r="D81" s="1" t="s">
        <v>16</v>
      </c>
      <c r="E81" s="1">
        <v>5</v>
      </c>
      <c r="F81" s="1">
        <v>140</v>
      </c>
      <c r="G81" s="1">
        <v>0</v>
      </c>
      <c r="H81" s="1">
        <v>0</v>
      </c>
      <c r="I81" s="1">
        <v>8.4</v>
      </c>
      <c r="J81" s="1">
        <v>14</v>
      </c>
      <c r="K81" s="1">
        <v>162.4</v>
      </c>
      <c r="M81">
        <f t="shared" si="1"/>
        <v>6.0000000000000005E-2</v>
      </c>
    </row>
    <row r="82" spans="1:13" x14ac:dyDescent="0.4">
      <c r="A82" s="1" t="s">
        <v>86</v>
      </c>
      <c r="B82" s="1" t="s">
        <v>90</v>
      </c>
      <c r="C82" s="1" t="s">
        <v>91</v>
      </c>
      <c r="D82" s="1" t="s">
        <v>16</v>
      </c>
      <c r="E82" s="1">
        <v>1</v>
      </c>
      <c r="F82" s="1">
        <v>38</v>
      </c>
      <c r="G82" s="1">
        <v>0</v>
      </c>
      <c r="H82" s="1">
        <v>0</v>
      </c>
      <c r="I82" s="1">
        <v>2.2799999999999998</v>
      </c>
      <c r="J82" s="1">
        <v>3.8</v>
      </c>
      <c r="K82" s="1">
        <v>44.08</v>
      </c>
      <c r="M82">
        <f t="shared" si="1"/>
        <v>0.06</v>
      </c>
    </row>
    <row r="83" spans="1:13" x14ac:dyDescent="0.4">
      <c r="A83" s="1" t="s">
        <v>86</v>
      </c>
      <c r="B83" s="1" t="s">
        <v>92</v>
      </c>
      <c r="C83" s="1" t="s">
        <v>68</v>
      </c>
      <c r="D83" s="1" t="s">
        <v>16</v>
      </c>
      <c r="E83" s="1">
        <v>1</v>
      </c>
      <c r="F83" s="1">
        <v>28</v>
      </c>
      <c r="G83" s="1">
        <v>0</v>
      </c>
      <c r="H83" s="1">
        <v>0</v>
      </c>
      <c r="I83" s="1">
        <v>1.68</v>
      </c>
      <c r="J83" s="1">
        <v>2.8</v>
      </c>
      <c r="K83" s="1">
        <v>32.479999999999997</v>
      </c>
      <c r="M83">
        <f t="shared" si="1"/>
        <v>0.06</v>
      </c>
    </row>
    <row r="84" spans="1:13" x14ac:dyDescent="0.4">
      <c r="A84" s="1" t="s">
        <v>86</v>
      </c>
      <c r="B84" s="1" t="s">
        <v>92</v>
      </c>
      <c r="C84" s="1" t="s">
        <v>91</v>
      </c>
      <c r="D84" s="1" t="s">
        <v>16</v>
      </c>
      <c r="E84" s="1">
        <v>1</v>
      </c>
      <c r="F84" s="1">
        <v>38</v>
      </c>
      <c r="G84" s="1">
        <v>0</v>
      </c>
      <c r="H84" s="1">
        <v>0</v>
      </c>
      <c r="I84" s="1">
        <v>2.2799999999999998</v>
      </c>
      <c r="J84" s="1">
        <v>3.8</v>
      </c>
      <c r="K84" s="1">
        <v>44.08</v>
      </c>
      <c r="M84">
        <f t="shared" si="1"/>
        <v>0.06</v>
      </c>
    </row>
    <row r="85" spans="1:13" x14ac:dyDescent="0.4">
      <c r="A85" s="1" t="s">
        <v>86</v>
      </c>
      <c r="B85" s="1" t="s">
        <v>93</v>
      </c>
      <c r="C85" s="1" t="s">
        <v>88</v>
      </c>
      <c r="D85" s="1" t="s">
        <v>16</v>
      </c>
      <c r="E85" s="1">
        <v>8</v>
      </c>
      <c r="F85" s="1">
        <v>384</v>
      </c>
      <c r="G85" s="1">
        <v>-17.739999999999998</v>
      </c>
      <c r="H85" s="1">
        <v>0</v>
      </c>
      <c r="I85" s="1">
        <v>21.98</v>
      </c>
      <c r="J85" s="1">
        <v>27.89</v>
      </c>
      <c r="K85" s="1">
        <v>416.13</v>
      </c>
      <c r="M85" s="7">
        <f t="shared" si="1"/>
        <v>6.0012013323868296E-2</v>
      </c>
    </row>
    <row r="86" spans="1:13" x14ac:dyDescent="0.4">
      <c r="A86" s="1" t="s">
        <v>86</v>
      </c>
      <c r="B86" s="1" t="s">
        <v>93</v>
      </c>
      <c r="C86" s="1" t="s">
        <v>68</v>
      </c>
      <c r="D86" s="1" t="s">
        <v>16</v>
      </c>
      <c r="E86" s="1">
        <v>21</v>
      </c>
      <c r="F86" s="1">
        <v>588</v>
      </c>
      <c r="G86" s="1">
        <v>-4.5999999999999996</v>
      </c>
      <c r="H86" s="1">
        <v>0</v>
      </c>
      <c r="I86" s="1">
        <v>35</v>
      </c>
      <c r="J86" s="1">
        <v>55.54</v>
      </c>
      <c r="K86" s="1">
        <v>673.94</v>
      </c>
      <c r="M86" s="7">
        <f t="shared" si="1"/>
        <v>5.9993143640726776E-2</v>
      </c>
    </row>
    <row r="87" spans="1:13" x14ac:dyDescent="0.4">
      <c r="A87" s="1" t="s">
        <v>86</v>
      </c>
      <c r="B87" s="1" t="s">
        <v>93</v>
      </c>
      <c r="C87" s="1" t="s">
        <v>91</v>
      </c>
      <c r="D87" s="1" t="s">
        <v>16</v>
      </c>
      <c r="E87" s="1">
        <v>8</v>
      </c>
      <c r="F87" s="1">
        <v>304</v>
      </c>
      <c r="G87" s="1">
        <v>-8.67</v>
      </c>
      <c r="H87" s="1">
        <v>0</v>
      </c>
      <c r="I87" s="1">
        <v>17.72</v>
      </c>
      <c r="J87" s="1">
        <v>29.53</v>
      </c>
      <c r="K87" s="1">
        <v>342.58</v>
      </c>
      <c r="M87" s="7">
        <f t="shared" si="1"/>
        <v>6.000067720854637E-2</v>
      </c>
    </row>
    <row r="88" spans="1:13" x14ac:dyDescent="0.4">
      <c r="A88" s="3" t="s">
        <v>94</v>
      </c>
      <c r="B88" s="3" t="s">
        <v>16</v>
      </c>
      <c r="C88" s="3" t="s">
        <v>16</v>
      </c>
      <c r="D88" s="3" t="s">
        <v>16</v>
      </c>
      <c r="E88" s="3">
        <v>40</v>
      </c>
      <c r="F88" s="3">
        <v>1456</v>
      </c>
      <c r="G88" s="3">
        <v>-33.06</v>
      </c>
      <c r="H88" s="3">
        <v>0</v>
      </c>
      <c r="I88" s="3">
        <v>85.38</v>
      </c>
      <c r="J88" s="3">
        <v>142.29</v>
      </c>
      <c r="K88" s="3">
        <v>1650.61</v>
      </c>
      <c r="M88" s="7">
        <f t="shared" si="1"/>
        <v>6.0002529973154167E-2</v>
      </c>
    </row>
    <row r="89" spans="1:13" x14ac:dyDescent="0.4">
      <c r="A89" s="1" t="s">
        <v>94</v>
      </c>
      <c r="B89" s="1" t="s">
        <v>95</v>
      </c>
      <c r="C89" s="1" t="s">
        <v>96</v>
      </c>
      <c r="D89" s="1" t="s">
        <v>16</v>
      </c>
      <c r="E89" s="1">
        <v>1</v>
      </c>
      <c r="F89" s="1">
        <v>70</v>
      </c>
      <c r="G89" s="1">
        <v>0</v>
      </c>
      <c r="H89" s="1">
        <v>0</v>
      </c>
      <c r="I89" s="1">
        <v>4.2</v>
      </c>
      <c r="J89" s="1">
        <v>7</v>
      </c>
      <c r="K89" s="1">
        <v>81.2</v>
      </c>
      <c r="M89">
        <f t="shared" si="1"/>
        <v>6.0000000000000005E-2</v>
      </c>
    </row>
    <row r="90" spans="1:13" x14ac:dyDescent="0.4">
      <c r="A90" s="1" t="s">
        <v>94</v>
      </c>
      <c r="B90" s="1" t="s">
        <v>95</v>
      </c>
      <c r="C90" s="1" t="s">
        <v>97</v>
      </c>
      <c r="D90" s="1" t="s">
        <v>16</v>
      </c>
      <c r="E90" s="1">
        <v>23</v>
      </c>
      <c r="F90" s="1">
        <v>644</v>
      </c>
      <c r="G90" s="1">
        <v>-9.6999999999999993</v>
      </c>
      <c r="H90" s="1">
        <v>0</v>
      </c>
      <c r="I90" s="1">
        <v>38.06</v>
      </c>
      <c r="J90" s="1">
        <v>63.43</v>
      </c>
      <c r="K90" s="1">
        <v>735.79</v>
      </c>
      <c r="M90" s="7">
        <f t="shared" si="1"/>
        <v>6.00031530821378E-2</v>
      </c>
    </row>
    <row r="91" spans="1:13" x14ac:dyDescent="0.4">
      <c r="A91" s="1" t="s">
        <v>94</v>
      </c>
      <c r="B91" s="1" t="s">
        <v>95</v>
      </c>
      <c r="C91" s="1" t="s">
        <v>98</v>
      </c>
      <c r="D91" s="1" t="s">
        <v>16</v>
      </c>
      <c r="E91" s="1">
        <v>10</v>
      </c>
      <c r="F91" s="1">
        <v>420</v>
      </c>
      <c r="G91" s="1">
        <v>-15.24</v>
      </c>
      <c r="H91" s="1">
        <v>0</v>
      </c>
      <c r="I91" s="1">
        <v>24.29</v>
      </c>
      <c r="J91" s="1">
        <v>40.479999999999997</v>
      </c>
      <c r="K91" s="1">
        <v>469.52</v>
      </c>
      <c r="M91" s="7">
        <f t="shared" si="1"/>
        <v>6.0010870639391242E-2</v>
      </c>
    </row>
    <row r="92" spans="1:13" x14ac:dyDescent="0.4">
      <c r="A92" s="1" t="s">
        <v>94</v>
      </c>
      <c r="B92" s="1" t="s">
        <v>95</v>
      </c>
      <c r="C92" s="1" t="s">
        <v>99</v>
      </c>
      <c r="D92" s="1" t="s">
        <v>16</v>
      </c>
      <c r="E92" s="1">
        <v>4</v>
      </c>
      <c r="F92" s="1">
        <v>224</v>
      </c>
      <c r="G92" s="1">
        <v>-8.1199999999999992</v>
      </c>
      <c r="H92" s="1">
        <v>0</v>
      </c>
      <c r="I92" s="1">
        <v>12.95</v>
      </c>
      <c r="J92" s="1">
        <v>21.59</v>
      </c>
      <c r="K92" s="1">
        <v>250.42</v>
      </c>
      <c r="M92" s="7">
        <f t="shared" si="1"/>
        <v>5.9987029831387803E-2</v>
      </c>
    </row>
    <row r="93" spans="1:13" x14ac:dyDescent="0.4">
      <c r="A93" s="1" t="s">
        <v>94</v>
      </c>
      <c r="B93" s="1" t="s">
        <v>100</v>
      </c>
      <c r="C93" s="1" t="s">
        <v>91</v>
      </c>
      <c r="D93" s="1" t="s">
        <v>16</v>
      </c>
      <c r="E93" s="1">
        <v>1</v>
      </c>
      <c r="F93" s="1">
        <v>42</v>
      </c>
      <c r="G93" s="1">
        <v>0</v>
      </c>
      <c r="H93" s="1">
        <v>0</v>
      </c>
      <c r="I93" s="1">
        <v>2.52</v>
      </c>
      <c r="J93" s="1">
        <v>4.2</v>
      </c>
      <c r="K93" s="1">
        <v>48.72</v>
      </c>
      <c r="M93">
        <f t="shared" si="1"/>
        <v>0.06</v>
      </c>
    </row>
    <row r="94" spans="1:13" x14ac:dyDescent="0.4">
      <c r="A94" s="1" t="s">
        <v>94</v>
      </c>
      <c r="B94" s="1" t="s">
        <v>100</v>
      </c>
      <c r="C94" s="1" t="s">
        <v>88</v>
      </c>
      <c r="D94" s="1" t="s">
        <v>16</v>
      </c>
      <c r="E94" s="1">
        <v>1</v>
      </c>
      <c r="F94" s="1">
        <v>56</v>
      </c>
      <c r="G94" s="1">
        <v>0</v>
      </c>
      <c r="H94" s="1">
        <v>0</v>
      </c>
      <c r="I94" s="1">
        <v>3.36</v>
      </c>
      <c r="J94" s="1">
        <v>5.6</v>
      </c>
      <c r="K94" s="1">
        <v>64.959999999999994</v>
      </c>
      <c r="M94">
        <f t="shared" si="1"/>
        <v>0.06</v>
      </c>
    </row>
    <row r="95" spans="1:13" x14ac:dyDescent="0.4">
      <c r="A95" s="3" t="s">
        <v>101</v>
      </c>
      <c r="B95" s="3" t="s">
        <v>16</v>
      </c>
      <c r="C95" s="3" t="s">
        <v>16</v>
      </c>
      <c r="D95" s="3" t="s">
        <v>16</v>
      </c>
      <c r="E95" s="3">
        <v>20</v>
      </c>
      <c r="F95" s="3">
        <v>636</v>
      </c>
      <c r="G95" s="3">
        <v>0</v>
      </c>
      <c r="H95" s="3">
        <v>0</v>
      </c>
      <c r="I95" s="3">
        <v>38.159999999999997</v>
      </c>
      <c r="J95" s="3">
        <v>63.6</v>
      </c>
      <c r="K95" s="3">
        <v>737.76</v>
      </c>
      <c r="M95">
        <f t="shared" si="1"/>
        <v>0.06</v>
      </c>
    </row>
    <row r="96" spans="1:13" x14ac:dyDescent="0.4">
      <c r="A96" s="1" t="s">
        <v>101</v>
      </c>
      <c r="B96" s="1" t="s">
        <v>102</v>
      </c>
      <c r="C96" s="1" t="s">
        <v>68</v>
      </c>
      <c r="D96" s="1" t="s">
        <v>16</v>
      </c>
      <c r="E96" s="1">
        <v>1</v>
      </c>
      <c r="F96" s="1">
        <v>48</v>
      </c>
      <c r="G96" s="1">
        <v>0</v>
      </c>
      <c r="H96" s="1">
        <v>0</v>
      </c>
      <c r="I96" s="1">
        <v>2.88</v>
      </c>
      <c r="J96" s="1">
        <v>4.8</v>
      </c>
      <c r="K96" s="1">
        <v>55.68</v>
      </c>
      <c r="M96">
        <f t="shared" si="1"/>
        <v>0.06</v>
      </c>
    </row>
    <row r="97" spans="1:13" x14ac:dyDescent="0.4">
      <c r="A97" s="1" t="s">
        <v>101</v>
      </c>
      <c r="B97" s="1" t="s">
        <v>103</v>
      </c>
      <c r="C97" s="1" t="s">
        <v>91</v>
      </c>
      <c r="D97" s="1" t="s">
        <v>16</v>
      </c>
      <c r="E97" s="1">
        <v>2</v>
      </c>
      <c r="F97" s="1">
        <v>76</v>
      </c>
      <c r="G97" s="1">
        <v>0</v>
      </c>
      <c r="H97" s="1">
        <v>0</v>
      </c>
      <c r="I97" s="1">
        <v>4.5599999999999996</v>
      </c>
      <c r="J97" s="1">
        <v>7.6</v>
      </c>
      <c r="K97" s="1">
        <v>88.16</v>
      </c>
      <c r="M97">
        <f t="shared" si="1"/>
        <v>0.06</v>
      </c>
    </row>
    <row r="98" spans="1:13" x14ac:dyDescent="0.4">
      <c r="A98" s="1" t="s">
        <v>101</v>
      </c>
      <c r="B98" s="1" t="s">
        <v>103</v>
      </c>
      <c r="C98" s="1" t="s">
        <v>68</v>
      </c>
      <c r="D98" s="1" t="s">
        <v>16</v>
      </c>
      <c r="E98" s="1">
        <v>11</v>
      </c>
      <c r="F98" s="1">
        <v>242</v>
      </c>
      <c r="G98" s="1">
        <v>0</v>
      </c>
      <c r="H98" s="1">
        <v>0</v>
      </c>
      <c r="I98" s="1">
        <v>14.52</v>
      </c>
      <c r="J98" s="1">
        <v>24.2</v>
      </c>
      <c r="K98" s="1">
        <v>280.72000000000003</v>
      </c>
      <c r="M98">
        <f t="shared" si="1"/>
        <v>0.06</v>
      </c>
    </row>
    <row r="99" spans="1:13" x14ac:dyDescent="0.4">
      <c r="A99" s="1" t="s">
        <v>101</v>
      </c>
      <c r="B99" s="1" t="s">
        <v>103</v>
      </c>
      <c r="C99" s="1" t="s">
        <v>88</v>
      </c>
      <c r="D99" s="1" t="s">
        <v>16</v>
      </c>
      <c r="E99" s="1">
        <v>2</v>
      </c>
      <c r="F99" s="1">
        <v>116</v>
      </c>
      <c r="G99" s="1">
        <v>0</v>
      </c>
      <c r="H99" s="1">
        <v>0</v>
      </c>
      <c r="I99" s="1">
        <v>6.96</v>
      </c>
      <c r="J99" s="1">
        <v>11.6</v>
      </c>
      <c r="K99" s="1">
        <v>134.56</v>
      </c>
      <c r="M99">
        <f t="shared" si="1"/>
        <v>0.06</v>
      </c>
    </row>
    <row r="100" spans="1:13" x14ac:dyDescent="0.4">
      <c r="A100" s="1" t="s">
        <v>101</v>
      </c>
      <c r="B100" s="1" t="s">
        <v>104</v>
      </c>
      <c r="C100" s="1" t="s">
        <v>105</v>
      </c>
      <c r="D100" s="1" t="s">
        <v>16</v>
      </c>
      <c r="E100" s="1">
        <v>1</v>
      </c>
      <c r="F100" s="1">
        <v>42</v>
      </c>
      <c r="G100" s="1">
        <v>0</v>
      </c>
      <c r="H100" s="1">
        <v>0</v>
      </c>
      <c r="I100" s="1">
        <v>2.52</v>
      </c>
      <c r="J100" s="1">
        <v>4.2</v>
      </c>
      <c r="K100" s="1">
        <v>48.72</v>
      </c>
      <c r="M100">
        <f t="shared" si="1"/>
        <v>0.06</v>
      </c>
    </row>
    <row r="101" spans="1:13" x14ac:dyDescent="0.4">
      <c r="A101" s="1" t="s">
        <v>101</v>
      </c>
      <c r="B101" s="1" t="s">
        <v>104</v>
      </c>
      <c r="C101" s="1" t="s">
        <v>106</v>
      </c>
      <c r="D101" s="1" t="s">
        <v>16</v>
      </c>
      <c r="E101" s="1">
        <v>2</v>
      </c>
      <c r="F101" s="1">
        <v>56</v>
      </c>
      <c r="G101" s="1">
        <v>0</v>
      </c>
      <c r="H101" s="1">
        <v>0</v>
      </c>
      <c r="I101" s="1">
        <v>3.36</v>
      </c>
      <c r="J101" s="1">
        <v>5.6</v>
      </c>
      <c r="K101" s="1">
        <v>64.959999999999994</v>
      </c>
      <c r="M101">
        <f t="shared" si="1"/>
        <v>0.06</v>
      </c>
    </row>
    <row r="102" spans="1:13" x14ac:dyDescent="0.4">
      <c r="A102" s="1" t="s">
        <v>101</v>
      </c>
      <c r="B102" s="1" t="s">
        <v>104</v>
      </c>
      <c r="C102" s="1" t="s">
        <v>107</v>
      </c>
      <c r="D102" s="1" t="s">
        <v>16</v>
      </c>
      <c r="E102" s="1">
        <v>1</v>
      </c>
      <c r="F102" s="1">
        <v>56</v>
      </c>
      <c r="G102" s="1">
        <v>0</v>
      </c>
      <c r="H102" s="1">
        <v>0</v>
      </c>
      <c r="I102" s="1">
        <v>3.36</v>
      </c>
      <c r="J102" s="1">
        <v>5.6</v>
      </c>
      <c r="K102" s="1">
        <v>64.959999999999994</v>
      </c>
      <c r="M102">
        <f t="shared" si="1"/>
        <v>0.06</v>
      </c>
    </row>
    <row r="103" spans="1:13" x14ac:dyDescent="0.4">
      <c r="A103" s="3" t="s">
        <v>108</v>
      </c>
      <c r="B103" s="3" t="s">
        <v>16</v>
      </c>
      <c r="C103" s="3" t="s">
        <v>16</v>
      </c>
      <c r="D103" s="3" t="s">
        <v>16</v>
      </c>
      <c r="E103" s="3">
        <v>31</v>
      </c>
      <c r="F103" s="3">
        <v>1455.2</v>
      </c>
      <c r="G103" s="3">
        <v>-10.130000000000001</v>
      </c>
      <c r="H103" s="3">
        <v>0</v>
      </c>
      <c r="I103" s="3">
        <v>86.7</v>
      </c>
      <c r="J103" s="3">
        <v>136.91</v>
      </c>
      <c r="K103" s="3">
        <v>1668.68</v>
      </c>
      <c r="M103" s="7">
        <f t="shared" si="1"/>
        <v>5.9997093566401635E-2</v>
      </c>
    </row>
    <row r="104" spans="1:13" x14ac:dyDescent="0.4">
      <c r="A104" s="1" t="s">
        <v>108</v>
      </c>
      <c r="B104" s="1" t="s">
        <v>109</v>
      </c>
      <c r="C104" s="1" t="s">
        <v>16</v>
      </c>
      <c r="D104" s="1" t="s">
        <v>16</v>
      </c>
      <c r="E104" s="1">
        <v>19</v>
      </c>
      <c r="F104" s="1">
        <v>722</v>
      </c>
      <c r="G104" s="1">
        <v>0</v>
      </c>
      <c r="H104" s="1">
        <v>0</v>
      </c>
      <c r="I104" s="1">
        <v>43.32</v>
      </c>
      <c r="J104" s="1">
        <v>64.599999999999994</v>
      </c>
      <c r="K104" s="1">
        <v>829.92</v>
      </c>
      <c r="M104">
        <f t="shared" si="1"/>
        <v>0.06</v>
      </c>
    </row>
    <row r="105" spans="1:13" x14ac:dyDescent="0.4">
      <c r="A105" s="1" t="s">
        <v>108</v>
      </c>
      <c r="B105" s="1" t="s">
        <v>110</v>
      </c>
      <c r="C105" s="1" t="s">
        <v>16</v>
      </c>
      <c r="D105" s="1" t="s">
        <v>16</v>
      </c>
      <c r="E105" s="1">
        <v>9</v>
      </c>
      <c r="F105" s="1">
        <v>619.20000000000005</v>
      </c>
      <c r="G105" s="1">
        <v>0</v>
      </c>
      <c r="H105" s="1">
        <v>0</v>
      </c>
      <c r="I105" s="1">
        <v>37.15</v>
      </c>
      <c r="J105" s="1">
        <v>61.92</v>
      </c>
      <c r="K105" s="1">
        <v>718.27</v>
      </c>
      <c r="M105" s="7">
        <f t="shared" si="1"/>
        <v>5.9996770025839787E-2</v>
      </c>
    </row>
    <row r="106" spans="1:13" x14ac:dyDescent="0.4">
      <c r="A106" s="1" t="s">
        <v>108</v>
      </c>
      <c r="B106" s="1" t="s">
        <v>111</v>
      </c>
      <c r="C106" s="1" t="s">
        <v>16</v>
      </c>
      <c r="D106" s="1" t="s">
        <v>16</v>
      </c>
      <c r="E106" s="1">
        <v>3</v>
      </c>
      <c r="F106" s="1">
        <v>114</v>
      </c>
      <c r="G106" s="1">
        <v>-10.130000000000001</v>
      </c>
      <c r="H106" s="1">
        <v>0</v>
      </c>
      <c r="I106" s="1">
        <v>6.23</v>
      </c>
      <c r="J106" s="1">
        <v>10.39</v>
      </c>
      <c r="K106" s="1">
        <v>120.49</v>
      </c>
      <c r="M106" s="7">
        <f t="shared" si="1"/>
        <v>5.9978819678444213E-2</v>
      </c>
    </row>
    <row r="107" spans="1:13" x14ac:dyDescent="0.4">
      <c r="A107" s="3" t="s">
        <v>112</v>
      </c>
      <c r="B107" s="3" t="s">
        <v>16</v>
      </c>
      <c r="C107" s="3" t="s">
        <v>16</v>
      </c>
      <c r="D107" s="3" t="s">
        <v>16</v>
      </c>
      <c r="E107" s="3">
        <v>14</v>
      </c>
      <c r="F107" s="3">
        <v>448</v>
      </c>
      <c r="G107" s="3">
        <v>0</v>
      </c>
      <c r="H107" s="3">
        <v>0</v>
      </c>
      <c r="I107" s="3">
        <v>26.88</v>
      </c>
      <c r="J107" s="3">
        <v>33.6</v>
      </c>
      <c r="K107" s="3">
        <v>508.48</v>
      </c>
      <c r="M107">
        <f t="shared" si="1"/>
        <v>0.06</v>
      </c>
    </row>
    <row r="108" spans="1:13" x14ac:dyDescent="0.4">
      <c r="A108" s="1" t="s">
        <v>112</v>
      </c>
      <c r="B108" s="1" t="s">
        <v>113</v>
      </c>
      <c r="C108" s="1" t="s">
        <v>16</v>
      </c>
      <c r="D108" s="1" t="s">
        <v>16</v>
      </c>
      <c r="E108" s="1">
        <v>5</v>
      </c>
      <c r="F108" s="1">
        <v>140</v>
      </c>
      <c r="G108" s="1">
        <v>0</v>
      </c>
      <c r="H108" s="1">
        <v>0</v>
      </c>
      <c r="I108" s="1">
        <v>8.4</v>
      </c>
      <c r="J108" s="1">
        <v>5.6</v>
      </c>
      <c r="K108" s="1">
        <v>154</v>
      </c>
      <c r="M108">
        <f t="shared" si="1"/>
        <v>6.0000000000000005E-2</v>
      </c>
    </row>
    <row r="109" spans="1:13" x14ac:dyDescent="0.4">
      <c r="A109" s="1" t="s">
        <v>112</v>
      </c>
      <c r="B109" s="1" t="s">
        <v>114</v>
      </c>
      <c r="C109" s="1" t="s">
        <v>16</v>
      </c>
      <c r="D109" s="1" t="s">
        <v>16</v>
      </c>
      <c r="E109" s="1">
        <v>1</v>
      </c>
      <c r="F109" s="1">
        <v>28</v>
      </c>
      <c r="G109" s="1">
        <v>0</v>
      </c>
      <c r="H109" s="1">
        <v>0</v>
      </c>
      <c r="I109" s="1">
        <v>1.68</v>
      </c>
      <c r="J109" s="1">
        <v>2.8</v>
      </c>
      <c r="K109" s="1">
        <v>32.479999999999997</v>
      </c>
      <c r="M109">
        <f t="shared" si="1"/>
        <v>0.06</v>
      </c>
    </row>
    <row r="110" spans="1:13" x14ac:dyDescent="0.4">
      <c r="A110" s="1" t="s">
        <v>112</v>
      </c>
      <c r="B110" s="1" t="s">
        <v>115</v>
      </c>
      <c r="C110" s="1" t="s">
        <v>16</v>
      </c>
      <c r="D110" s="1" t="s">
        <v>16</v>
      </c>
      <c r="E110" s="1">
        <v>2</v>
      </c>
      <c r="F110" s="1">
        <v>56</v>
      </c>
      <c r="G110" s="1">
        <v>0</v>
      </c>
      <c r="H110" s="1">
        <v>0</v>
      </c>
      <c r="I110" s="1">
        <v>3.36</v>
      </c>
      <c r="J110" s="1">
        <v>2.8</v>
      </c>
      <c r="K110" s="1">
        <v>62.16</v>
      </c>
      <c r="M110">
        <f t="shared" si="1"/>
        <v>0.06</v>
      </c>
    </row>
    <row r="111" spans="1:13" x14ac:dyDescent="0.4">
      <c r="A111" s="1" t="s">
        <v>112</v>
      </c>
      <c r="B111" s="1" t="s">
        <v>116</v>
      </c>
      <c r="C111" s="1" t="s">
        <v>16</v>
      </c>
      <c r="D111" s="1" t="s">
        <v>16</v>
      </c>
      <c r="E111" s="1">
        <v>4</v>
      </c>
      <c r="F111" s="1">
        <v>112</v>
      </c>
      <c r="G111" s="1">
        <v>0</v>
      </c>
      <c r="H111" s="1">
        <v>0</v>
      </c>
      <c r="I111" s="1">
        <v>6.72</v>
      </c>
      <c r="J111" s="1">
        <v>11.2</v>
      </c>
      <c r="K111" s="1">
        <v>129.91999999999999</v>
      </c>
      <c r="M111">
        <f t="shared" si="1"/>
        <v>0.06</v>
      </c>
    </row>
    <row r="112" spans="1:13" x14ac:dyDescent="0.4">
      <c r="A112" s="1" t="s">
        <v>112</v>
      </c>
      <c r="B112" s="1" t="s">
        <v>117</v>
      </c>
      <c r="C112" s="1" t="s">
        <v>16</v>
      </c>
      <c r="D112" s="1" t="s">
        <v>16</v>
      </c>
      <c r="E112" s="1">
        <v>2</v>
      </c>
      <c r="F112" s="1">
        <v>112</v>
      </c>
      <c r="G112" s="1">
        <v>0</v>
      </c>
      <c r="H112" s="1">
        <v>0</v>
      </c>
      <c r="I112" s="1">
        <v>6.72</v>
      </c>
      <c r="J112" s="1">
        <v>11.2</v>
      </c>
      <c r="K112" s="1">
        <v>129.91999999999999</v>
      </c>
      <c r="M112">
        <f t="shared" si="1"/>
        <v>0.06</v>
      </c>
    </row>
    <row r="113" spans="1:13" x14ac:dyDescent="0.4">
      <c r="A113" s="3" t="s">
        <v>118</v>
      </c>
      <c r="B113" s="3" t="s">
        <v>16</v>
      </c>
      <c r="C113" s="3" t="s">
        <v>16</v>
      </c>
      <c r="D113" s="3" t="s">
        <v>16</v>
      </c>
      <c r="E113" s="3">
        <v>288</v>
      </c>
      <c r="F113" s="3">
        <v>2573</v>
      </c>
      <c r="G113" s="3">
        <v>-30.27</v>
      </c>
      <c r="H113" s="3">
        <v>0</v>
      </c>
      <c r="I113" s="3">
        <v>152.56</v>
      </c>
      <c r="J113" s="3">
        <v>254.27</v>
      </c>
      <c r="K113" s="3">
        <v>2949.57</v>
      </c>
      <c r="M113" s="7">
        <f t="shared" si="1"/>
        <v>5.9998505543254692E-2</v>
      </c>
    </row>
    <row r="114" spans="1:13" x14ac:dyDescent="0.4">
      <c r="A114" s="1" t="s">
        <v>118</v>
      </c>
      <c r="B114" s="1" t="s">
        <v>119</v>
      </c>
      <c r="C114" s="1" t="s">
        <v>68</v>
      </c>
      <c r="D114" s="1" t="s">
        <v>16</v>
      </c>
      <c r="E114" s="1">
        <v>3</v>
      </c>
      <c r="F114" s="1">
        <v>29.4</v>
      </c>
      <c r="G114" s="1">
        <v>-4.1100000000000003</v>
      </c>
      <c r="H114" s="1">
        <v>0</v>
      </c>
      <c r="I114" s="1">
        <v>1.52</v>
      </c>
      <c r="J114" s="1">
        <v>2.5299999999999998</v>
      </c>
      <c r="K114" s="1">
        <v>29.34</v>
      </c>
      <c r="M114" s="7">
        <f t="shared" si="1"/>
        <v>6.0102807433768293E-2</v>
      </c>
    </row>
    <row r="115" spans="1:13" x14ac:dyDescent="0.4">
      <c r="A115" s="1" t="s">
        <v>118</v>
      </c>
      <c r="B115" s="1" t="s">
        <v>120</v>
      </c>
      <c r="C115" s="1" t="s">
        <v>68</v>
      </c>
      <c r="D115" s="1" t="s">
        <v>16</v>
      </c>
      <c r="E115" s="1">
        <v>5</v>
      </c>
      <c r="F115" s="1">
        <v>39</v>
      </c>
      <c r="G115" s="1">
        <v>0</v>
      </c>
      <c r="H115" s="1">
        <v>0</v>
      </c>
      <c r="I115" s="1">
        <v>2.34</v>
      </c>
      <c r="J115" s="1">
        <v>3.9</v>
      </c>
      <c r="K115" s="1">
        <v>45.24</v>
      </c>
      <c r="M115">
        <f t="shared" si="1"/>
        <v>0.06</v>
      </c>
    </row>
    <row r="116" spans="1:13" x14ac:dyDescent="0.4">
      <c r="A116" s="1" t="s">
        <v>118</v>
      </c>
      <c r="B116" s="1" t="s">
        <v>121</v>
      </c>
      <c r="C116" s="1" t="s">
        <v>88</v>
      </c>
      <c r="D116" s="1" t="s">
        <v>16</v>
      </c>
      <c r="E116" s="1">
        <v>2</v>
      </c>
      <c r="F116" s="1">
        <v>29.6</v>
      </c>
      <c r="G116" s="1">
        <v>-4.92</v>
      </c>
      <c r="H116" s="1">
        <v>0</v>
      </c>
      <c r="I116" s="1">
        <v>1.48</v>
      </c>
      <c r="J116" s="1">
        <v>2.4700000000000002</v>
      </c>
      <c r="K116" s="1">
        <v>28.63</v>
      </c>
      <c r="M116" s="7">
        <f t="shared" si="1"/>
        <v>5.9967585089141004E-2</v>
      </c>
    </row>
    <row r="117" spans="1:13" x14ac:dyDescent="0.4">
      <c r="A117" s="1" t="s">
        <v>118</v>
      </c>
      <c r="B117" s="1" t="s">
        <v>121</v>
      </c>
      <c r="C117" s="1" t="s">
        <v>68</v>
      </c>
      <c r="D117" s="1" t="s">
        <v>16</v>
      </c>
      <c r="E117" s="1">
        <v>24</v>
      </c>
      <c r="F117" s="1">
        <v>187.2</v>
      </c>
      <c r="G117" s="1">
        <v>-0.78</v>
      </c>
      <c r="H117" s="1">
        <v>0</v>
      </c>
      <c r="I117" s="1">
        <v>11.19</v>
      </c>
      <c r="J117" s="1">
        <v>18.64</v>
      </c>
      <c r="K117" s="1">
        <v>216.25</v>
      </c>
      <c r="M117" s="7">
        <f t="shared" si="1"/>
        <v>6.0025748310267142E-2</v>
      </c>
    </row>
    <row r="118" spans="1:13" x14ac:dyDescent="0.4">
      <c r="A118" s="1" t="s">
        <v>118</v>
      </c>
      <c r="B118" s="1" t="s">
        <v>122</v>
      </c>
      <c r="C118" s="1" t="s">
        <v>16</v>
      </c>
      <c r="D118" s="1" t="s">
        <v>16</v>
      </c>
      <c r="E118" s="1">
        <v>5</v>
      </c>
      <c r="F118" s="1">
        <v>22.5</v>
      </c>
      <c r="G118" s="1">
        <v>0</v>
      </c>
      <c r="H118" s="1">
        <v>0</v>
      </c>
      <c r="I118" s="1">
        <v>1.35</v>
      </c>
      <c r="J118" s="1">
        <v>2.25</v>
      </c>
      <c r="K118" s="1">
        <v>26.1</v>
      </c>
      <c r="M118">
        <f t="shared" si="1"/>
        <v>6.0000000000000005E-2</v>
      </c>
    </row>
    <row r="119" spans="1:13" x14ac:dyDescent="0.4">
      <c r="A119" s="1" t="s">
        <v>118</v>
      </c>
      <c r="B119" s="1" t="s">
        <v>123</v>
      </c>
      <c r="C119" s="1" t="s">
        <v>16</v>
      </c>
      <c r="D119" s="1" t="s">
        <v>16</v>
      </c>
      <c r="E119" s="1">
        <v>2</v>
      </c>
      <c r="F119" s="1">
        <v>19.3</v>
      </c>
      <c r="G119" s="1">
        <v>0</v>
      </c>
      <c r="H119" s="1">
        <v>0</v>
      </c>
      <c r="I119" s="1">
        <v>1.1599999999999999</v>
      </c>
      <c r="J119" s="1">
        <v>1.93</v>
      </c>
      <c r="K119" s="1">
        <v>22.39</v>
      </c>
      <c r="M119" s="7">
        <f t="shared" si="1"/>
        <v>6.0103626943005174E-2</v>
      </c>
    </row>
    <row r="120" spans="1:13" x14ac:dyDescent="0.4">
      <c r="A120" s="1" t="s">
        <v>118</v>
      </c>
      <c r="B120" s="1" t="s">
        <v>124</v>
      </c>
      <c r="C120" s="1" t="s">
        <v>88</v>
      </c>
      <c r="D120" s="1" t="s">
        <v>16</v>
      </c>
      <c r="E120" s="1">
        <v>7</v>
      </c>
      <c r="F120" s="1">
        <v>103.6</v>
      </c>
      <c r="G120" s="1">
        <v>0</v>
      </c>
      <c r="H120" s="1">
        <v>0</v>
      </c>
      <c r="I120" s="1">
        <v>6.22</v>
      </c>
      <c r="J120" s="1">
        <v>10.36</v>
      </c>
      <c r="K120" s="1">
        <v>120.18</v>
      </c>
      <c r="M120" s="7">
        <f t="shared" si="1"/>
        <v>6.0038610038610038E-2</v>
      </c>
    </row>
    <row r="121" spans="1:13" x14ac:dyDescent="0.4">
      <c r="A121" s="1" t="s">
        <v>118</v>
      </c>
      <c r="B121" s="1" t="s">
        <v>124</v>
      </c>
      <c r="C121" s="1" t="s">
        <v>68</v>
      </c>
      <c r="D121" s="1" t="s">
        <v>16</v>
      </c>
      <c r="E121" s="1">
        <v>37</v>
      </c>
      <c r="F121" s="1">
        <v>288.60000000000002</v>
      </c>
      <c r="G121" s="1">
        <v>-2.72</v>
      </c>
      <c r="H121" s="1">
        <v>0</v>
      </c>
      <c r="I121" s="1">
        <v>17.149999999999999</v>
      </c>
      <c r="J121" s="1">
        <v>28.59</v>
      </c>
      <c r="K121" s="1">
        <v>331.62</v>
      </c>
      <c r="M121" s="7">
        <f t="shared" si="1"/>
        <v>5.9990205680705184E-2</v>
      </c>
    </row>
    <row r="122" spans="1:13" x14ac:dyDescent="0.4">
      <c r="A122" s="1" t="s">
        <v>118</v>
      </c>
      <c r="B122" s="1" t="s">
        <v>125</v>
      </c>
      <c r="C122" s="1" t="s">
        <v>88</v>
      </c>
      <c r="D122" s="1" t="s">
        <v>16</v>
      </c>
      <c r="E122" s="1">
        <v>7</v>
      </c>
      <c r="F122" s="1">
        <v>103.6</v>
      </c>
      <c r="G122" s="1">
        <v>-2.42</v>
      </c>
      <c r="H122" s="1">
        <v>0</v>
      </c>
      <c r="I122" s="1">
        <v>6.07</v>
      </c>
      <c r="J122" s="1">
        <v>10.119999999999999</v>
      </c>
      <c r="K122" s="1">
        <v>117.37</v>
      </c>
      <c r="M122" s="7">
        <f t="shared" si="1"/>
        <v>5.9992093299070973E-2</v>
      </c>
    </row>
    <row r="123" spans="1:13" x14ac:dyDescent="0.4">
      <c r="A123" s="1" t="s">
        <v>118</v>
      </c>
      <c r="B123" s="1" t="s">
        <v>125</v>
      </c>
      <c r="C123" s="1" t="s">
        <v>68</v>
      </c>
      <c r="D123" s="1" t="s">
        <v>16</v>
      </c>
      <c r="E123" s="1">
        <v>11</v>
      </c>
      <c r="F123" s="1">
        <v>85.8</v>
      </c>
      <c r="G123" s="1">
        <v>-2.46</v>
      </c>
      <c r="H123" s="1">
        <v>0</v>
      </c>
      <c r="I123" s="1">
        <v>5</v>
      </c>
      <c r="J123" s="1">
        <v>8.33</v>
      </c>
      <c r="K123" s="1">
        <v>96.67</v>
      </c>
      <c r="M123" s="7">
        <f t="shared" si="1"/>
        <v>5.9995200383969279E-2</v>
      </c>
    </row>
    <row r="124" spans="1:13" x14ac:dyDescent="0.4">
      <c r="A124" s="1" t="s">
        <v>118</v>
      </c>
      <c r="B124" s="1" t="s">
        <v>126</v>
      </c>
      <c r="C124" s="1" t="s">
        <v>68</v>
      </c>
      <c r="D124" s="1" t="s">
        <v>16</v>
      </c>
      <c r="E124" s="1">
        <v>36</v>
      </c>
      <c r="F124" s="1">
        <v>352.8</v>
      </c>
      <c r="G124" s="1">
        <v>-1.56</v>
      </c>
      <c r="H124" s="1">
        <v>0</v>
      </c>
      <c r="I124" s="1">
        <v>21.07</v>
      </c>
      <c r="J124" s="1">
        <v>35.119999999999997</v>
      </c>
      <c r="K124" s="1">
        <v>407.44</v>
      </c>
      <c r="M124" s="7">
        <f t="shared" si="1"/>
        <v>5.9987472952966629E-2</v>
      </c>
    </row>
    <row r="125" spans="1:13" x14ac:dyDescent="0.4">
      <c r="A125" s="1" t="s">
        <v>118</v>
      </c>
      <c r="B125" s="1" t="s">
        <v>126</v>
      </c>
      <c r="C125" s="1" t="s">
        <v>88</v>
      </c>
      <c r="D125" s="1" t="s">
        <v>16</v>
      </c>
      <c r="E125" s="1">
        <v>1</v>
      </c>
      <c r="F125" s="1">
        <v>16.8</v>
      </c>
      <c r="G125" s="1">
        <v>0</v>
      </c>
      <c r="H125" s="1">
        <v>0</v>
      </c>
      <c r="I125" s="1">
        <v>1.01</v>
      </c>
      <c r="J125" s="1">
        <v>1.68</v>
      </c>
      <c r="K125" s="1">
        <v>19.489999999999998</v>
      </c>
      <c r="M125" s="7">
        <f t="shared" si="1"/>
        <v>6.0119047619047614E-2</v>
      </c>
    </row>
    <row r="126" spans="1:13" x14ac:dyDescent="0.4">
      <c r="A126" s="1" t="s">
        <v>118</v>
      </c>
      <c r="B126" s="1" t="s">
        <v>127</v>
      </c>
      <c r="C126" s="1" t="s">
        <v>68</v>
      </c>
      <c r="D126" s="1" t="s">
        <v>16</v>
      </c>
      <c r="E126" s="1">
        <v>6</v>
      </c>
      <c r="F126" s="1">
        <v>46.8</v>
      </c>
      <c r="G126" s="1">
        <v>-0.66</v>
      </c>
      <c r="H126" s="1">
        <v>0</v>
      </c>
      <c r="I126" s="1">
        <v>2.77</v>
      </c>
      <c r="J126" s="1">
        <v>4.6100000000000003</v>
      </c>
      <c r="K126" s="1">
        <v>53.52</v>
      </c>
      <c r="M126" s="7">
        <f t="shared" si="1"/>
        <v>6.0034677069787601E-2</v>
      </c>
    </row>
    <row r="127" spans="1:13" x14ac:dyDescent="0.4">
      <c r="A127" s="1" t="s">
        <v>118</v>
      </c>
      <c r="B127" s="1" t="s">
        <v>127</v>
      </c>
      <c r="C127" s="1" t="s">
        <v>88</v>
      </c>
      <c r="D127" s="1" t="s">
        <v>16</v>
      </c>
      <c r="E127" s="1">
        <v>3</v>
      </c>
      <c r="F127" s="1">
        <v>44.4</v>
      </c>
      <c r="G127" s="1">
        <v>0</v>
      </c>
      <c r="H127" s="1">
        <v>0</v>
      </c>
      <c r="I127" s="1">
        <v>2.66</v>
      </c>
      <c r="J127" s="1">
        <v>4.4400000000000004</v>
      </c>
      <c r="K127" s="1">
        <v>51.5</v>
      </c>
      <c r="M127" s="7">
        <f t="shared" si="1"/>
        <v>5.9909909909909916E-2</v>
      </c>
    </row>
    <row r="128" spans="1:13" x14ac:dyDescent="0.4">
      <c r="A128" s="1" t="s">
        <v>118</v>
      </c>
      <c r="B128" s="1" t="s">
        <v>128</v>
      </c>
      <c r="C128" s="1" t="s">
        <v>88</v>
      </c>
      <c r="D128" s="1" t="s">
        <v>16</v>
      </c>
      <c r="E128" s="1">
        <v>2</v>
      </c>
      <c r="F128" s="1">
        <v>29.6</v>
      </c>
      <c r="G128" s="1">
        <v>0</v>
      </c>
      <c r="H128" s="1">
        <v>0</v>
      </c>
      <c r="I128" s="1">
        <v>1.78</v>
      </c>
      <c r="J128" s="1">
        <v>2.96</v>
      </c>
      <c r="K128" s="1">
        <v>34.340000000000003</v>
      </c>
      <c r="M128" s="7">
        <f t="shared" si="1"/>
        <v>6.0135135135135132E-2</v>
      </c>
    </row>
    <row r="129" spans="1:13" x14ac:dyDescent="0.4">
      <c r="A129" s="1" t="s">
        <v>118</v>
      </c>
      <c r="B129" s="1" t="s">
        <v>128</v>
      </c>
      <c r="C129" s="1" t="s">
        <v>68</v>
      </c>
      <c r="D129" s="1" t="s">
        <v>16</v>
      </c>
      <c r="E129" s="1">
        <v>9</v>
      </c>
      <c r="F129" s="1">
        <v>70.2</v>
      </c>
      <c r="G129" s="1">
        <v>0</v>
      </c>
      <c r="H129" s="1">
        <v>0</v>
      </c>
      <c r="I129" s="1">
        <v>4.21</v>
      </c>
      <c r="J129" s="1">
        <v>7.02</v>
      </c>
      <c r="K129" s="1">
        <v>81.430000000000007</v>
      </c>
      <c r="M129" s="7">
        <f t="shared" si="1"/>
        <v>5.9971509971509969E-2</v>
      </c>
    </row>
    <row r="130" spans="1:13" x14ac:dyDescent="0.4">
      <c r="A130" s="1" t="s">
        <v>118</v>
      </c>
      <c r="B130" s="1" t="s">
        <v>129</v>
      </c>
      <c r="C130" s="1" t="s">
        <v>68</v>
      </c>
      <c r="D130" s="1" t="s">
        <v>16</v>
      </c>
      <c r="E130" s="1">
        <v>26</v>
      </c>
      <c r="F130" s="1">
        <v>202.8</v>
      </c>
      <c r="G130" s="1">
        <v>-2.5499999999999998</v>
      </c>
      <c r="H130" s="1">
        <v>0</v>
      </c>
      <c r="I130" s="1">
        <v>12.02</v>
      </c>
      <c r="J130" s="1">
        <v>20.02</v>
      </c>
      <c r="K130" s="1">
        <v>232.29</v>
      </c>
      <c r="M130" s="7">
        <f t="shared" si="1"/>
        <v>6.0024968789013727E-2</v>
      </c>
    </row>
    <row r="131" spans="1:13" x14ac:dyDescent="0.4">
      <c r="A131" s="1" t="s">
        <v>118</v>
      </c>
      <c r="B131" s="1" t="s">
        <v>129</v>
      </c>
      <c r="C131" s="1" t="s">
        <v>88</v>
      </c>
      <c r="D131" s="1" t="s">
        <v>16</v>
      </c>
      <c r="E131" s="1">
        <v>3</v>
      </c>
      <c r="F131" s="1">
        <v>44.4</v>
      </c>
      <c r="G131" s="1">
        <v>0</v>
      </c>
      <c r="H131" s="1">
        <v>0</v>
      </c>
      <c r="I131" s="1">
        <v>2.66</v>
      </c>
      <c r="J131" s="1">
        <v>4.4400000000000004</v>
      </c>
      <c r="K131" s="1">
        <v>51.5</v>
      </c>
      <c r="M131" s="7">
        <f t="shared" si="1"/>
        <v>5.9909909909909916E-2</v>
      </c>
    </row>
    <row r="132" spans="1:13" x14ac:dyDescent="0.4">
      <c r="A132" s="1" t="s">
        <v>118</v>
      </c>
      <c r="B132" s="1" t="s">
        <v>130</v>
      </c>
      <c r="C132" s="1" t="s">
        <v>16</v>
      </c>
      <c r="D132" s="1" t="s">
        <v>16</v>
      </c>
      <c r="E132" s="1">
        <v>19</v>
      </c>
      <c r="F132" s="1">
        <v>85.5</v>
      </c>
      <c r="G132" s="1">
        <v>-1.76</v>
      </c>
      <c r="H132" s="1">
        <v>0</v>
      </c>
      <c r="I132" s="1">
        <v>5.0199999999999996</v>
      </c>
      <c r="J132" s="1">
        <v>8.3699999999999992</v>
      </c>
      <c r="K132" s="1">
        <v>97.14</v>
      </c>
      <c r="M132" s="7">
        <f t="shared" si="1"/>
        <v>5.9947456412705991E-2</v>
      </c>
    </row>
    <row r="133" spans="1:13" x14ac:dyDescent="0.4">
      <c r="A133" s="1" t="s">
        <v>118</v>
      </c>
      <c r="B133" s="1" t="s">
        <v>131</v>
      </c>
      <c r="C133" s="1" t="s">
        <v>68</v>
      </c>
      <c r="D133" s="1" t="s">
        <v>16</v>
      </c>
      <c r="E133" s="1">
        <v>49</v>
      </c>
      <c r="F133" s="1">
        <v>382.2</v>
      </c>
      <c r="G133" s="1">
        <v>-2.36</v>
      </c>
      <c r="H133" s="1">
        <v>0</v>
      </c>
      <c r="I133" s="1">
        <v>22.79</v>
      </c>
      <c r="J133" s="1">
        <v>37.979999999999997</v>
      </c>
      <c r="K133" s="1">
        <v>440.61</v>
      </c>
      <c r="M133" s="7">
        <f t="shared" si="1"/>
        <v>5.9998946925021064E-2</v>
      </c>
    </row>
    <row r="134" spans="1:13" x14ac:dyDescent="0.4">
      <c r="A134" s="1" t="s">
        <v>118</v>
      </c>
      <c r="B134" s="1" t="s">
        <v>131</v>
      </c>
      <c r="C134" s="1" t="s">
        <v>88</v>
      </c>
      <c r="D134" s="1" t="s">
        <v>16</v>
      </c>
      <c r="E134" s="1">
        <v>21</v>
      </c>
      <c r="F134" s="1">
        <v>310.89999999999998</v>
      </c>
      <c r="G134" s="1">
        <v>-3.97</v>
      </c>
      <c r="H134" s="1">
        <v>0</v>
      </c>
      <c r="I134" s="1">
        <v>18.420000000000002</v>
      </c>
      <c r="J134" s="1">
        <v>30.69</v>
      </c>
      <c r="K134" s="1">
        <v>356.04</v>
      </c>
      <c r="M134" s="7">
        <f t="shared" si="1"/>
        <v>6.0013683901866892E-2</v>
      </c>
    </row>
    <row r="135" spans="1:13" x14ac:dyDescent="0.4">
      <c r="A135" s="1" t="s">
        <v>118</v>
      </c>
      <c r="B135" s="1" t="s">
        <v>132</v>
      </c>
      <c r="C135" s="1" t="s">
        <v>68</v>
      </c>
      <c r="D135" s="1" t="s">
        <v>16</v>
      </c>
      <c r="E135" s="1">
        <v>10</v>
      </c>
      <c r="F135" s="1">
        <v>78</v>
      </c>
      <c r="G135" s="1">
        <v>0</v>
      </c>
      <c r="H135" s="1">
        <v>0</v>
      </c>
      <c r="I135" s="1">
        <v>4.68</v>
      </c>
      <c r="J135" s="1">
        <v>7.8</v>
      </c>
      <c r="K135" s="1">
        <v>90.48</v>
      </c>
      <c r="M135">
        <f t="shared" si="1"/>
        <v>0.06</v>
      </c>
    </row>
    <row r="136" spans="1:13" x14ac:dyDescent="0.4">
      <c r="A136" s="3" t="s">
        <v>133</v>
      </c>
      <c r="B136" s="3" t="s">
        <v>16</v>
      </c>
      <c r="C136" s="3" t="s">
        <v>16</v>
      </c>
      <c r="D136" s="3" t="s">
        <v>16</v>
      </c>
      <c r="E136" s="3">
        <v>127</v>
      </c>
      <c r="F136" s="3">
        <v>3562</v>
      </c>
      <c r="G136" s="3">
        <v>-57.66</v>
      </c>
      <c r="H136" s="3">
        <v>0</v>
      </c>
      <c r="I136" s="3">
        <v>210.26</v>
      </c>
      <c r="J136" s="3">
        <v>340.03</v>
      </c>
      <c r="K136" s="3">
        <v>4054.63</v>
      </c>
      <c r="M136">
        <f t="shared" ref="M136:M199" si="2">I136/(F136+G136)</f>
        <v>5.9999885855824484E-2</v>
      </c>
    </row>
    <row r="137" spans="1:13" x14ac:dyDescent="0.4">
      <c r="A137" s="1" t="s">
        <v>133</v>
      </c>
      <c r="B137" s="1" t="s">
        <v>134</v>
      </c>
      <c r="C137" s="1" t="s">
        <v>68</v>
      </c>
      <c r="D137" s="1" t="s">
        <v>16</v>
      </c>
      <c r="E137" s="1">
        <v>8</v>
      </c>
      <c r="F137" s="1">
        <v>160</v>
      </c>
      <c r="G137" s="1">
        <v>0</v>
      </c>
      <c r="H137" s="1">
        <v>0</v>
      </c>
      <c r="I137" s="1">
        <v>9.6</v>
      </c>
      <c r="J137" s="1">
        <v>16</v>
      </c>
      <c r="K137" s="1">
        <v>185.6</v>
      </c>
      <c r="M137">
        <f t="shared" si="2"/>
        <v>0.06</v>
      </c>
    </row>
    <row r="138" spans="1:13" x14ac:dyDescent="0.4">
      <c r="A138" s="1" t="s">
        <v>133</v>
      </c>
      <c r="B138" s="1" t="s">
        <v>135</v>
      </c>
      <c r="C138" s="1" t="s">
        <v>68</v>
      </c>
      <c r="D138" s="1" t="s">
        <v>16</v>
      </c>
      <c r="E138" s="1">
        <v>1</v>
      </c>
      <c r="F138" s="1">
        <v>20</v>
      </c>
      <c r="G138" s="1">
        <v>0</v>
      </c>
      <c r="H138" s="1">
        <v>0</v>
      </c>
      <c r="I138" s="1">
        <v>1.2</v>
      </c>
      <c r="J138" s="1">
        <v>2</v>
      </c>
      <c r="K138" s="1">
        <v>23.2</v>
      </c>
      <c r="M138">
        <f t="shared" si="2"/>
        <v>0.06</v>
      </c>
    </row>
    <row r="139" spans="1:13" x14ac:dyDescent="0.4">
      <c r="A139" s="1" t="s">
        <v>133</v>
      </c>
      <c r="B139" s="1" t="s">
        <v>136</v>
      </c>
      <c r="C139" s="1" t="s">
        <v>68</v>
      </c>
      <c r="D139" s="1" t="s">
        <v>16</v>
      </c>
      <c r="E139" s="1">
        <v>4</v>
      </c>
      <c r="F139" s="1">
        <v>80</v>
      </c>
      <c r="G139" s="1">
        <v>0</v>
      </c>
      <c r="H139" s="1">
        <v>0</v>
      </c>
      <c r="I139" s="1">
        <v>4.8</v>
      </c>
      <c r="J139" s="1">
        <v>8</v>
      </c>
      <c r="K139" s="1">
        <v>92.8</v>
      </c>
      <c r="M139">
        <f t="shared" si="2"/>
        <v>0.06</v>
      </c>
    </row>
    <row r="140" spans="1:13" x14ac:dyDescent="0.4">
      <c r="A140" s="1" t="s">
        <v>133</v>
      </c>
      <c r="B140" s="1" t="s">
        <v>136</v>
      </c>
      <c r="C140" s="1" t="s">
        <v>88</v>
      </c>
      <c r="D140" s="1" t="s">
        <v>16</v>
      </c>
      <c r="E140" s="1">
        <v>1</v>
      </c>
      <c r="F140" s="1">
        <v>38</v>
      </c>
      <c r="G140" s="1">
        <v>0</v>
      </c>
      <c r="H140" s="1">
        <v>0</v>
      </c>
      <c r="I140" s="1">
        <v>2.2799999999999998</v>
      </c>
      <c r="J140" s="1">
        <v>3.8</v>
      </c>
      <c r="K140" s="1">
        <v>44.08</v>
      </c>
      <c r="M140">
        <f t="shared" si="2"/>
        <v>0.06</v>
      </c>
    </row>
    <row r="141" spans="1:13" x14ac:dyDescent="0.4">
      <c r="A141" s="1" t="s">
        <v>133</v>
      </c>
      <c r="B141" s="1" t="s">
        <v>137</v>
      </c>
      <c r="C141" s="1" t="s">
        <v>68</v>
      </c>
      <c r="D141" s="1" t="s">
        <v>16</v>
      </c>
      <c r="E141" s="1">
        <v>1</v>
      </c>
      <c r="F141" s="1">
        <v>28</v>
      </c>
      <c r="G141" s="1">
        <v>0</v>
      </c>
      <c r="H141" s="1">
        <v>0</v>
      </c>
      <c r="I141" s="1">
        <v>1.68</v>
      </c>
      <c r="J141" s="1">
        <v>2.8</v>
      </c>
      <c r="K141" s="1">
        <v>32.479999999999997</v>
      </c>
      <c r="M141">
        <f t="shared" si="2"/>
        <v>0.06</v>
      </c>
    </row>
    <row r="142" spans="1:13" x14ac:dyDescent="0.4">
      <c r="A142" s="1" t="s">
        <v>133</v>
      </c>
      <c r="B142" s="1" t="s">
        <v>138</v>
      </c>
      <c r="C142" s="1" t="s">
        <v>68</v>
      </c>
      <c r="D142" s="1" t="s">
        <v>16</v>
      </c>
      <c r="E142" s="1">
        <v>69</v>
      </c>
      <c r="F142" s="1">
        <v>1932</v>
      </c>
      <c r="G142" s="1">
        <v>-23.23</v>
      </c>
      <c r="H142" s="1">
        <v>0</v>
      </c>
      <c r="I142" s="1">
        <v>114.53</v>
      </c>
      <c r="J142" s="1">
        <v>188.08</v>
      </c>
      <c r="K142" s="1">
        <v>2211.37</v>
      </c>
      <c r="M142" s="7">
        <f t="shared" si="2"/>
        <v>6.0001990810836299E-2</v>
      </c>
    </row>
    <row r="143" spans="1:13" x14ac:dyDescent="0.4">
      <c r="A143" s="1" t="s">
        <v>133</v>
      </c>
      <c r="B143" s="1" t="s">
        <v>138</v>
      </c>
      <c r="C143" s="1" t="s">
        <v>88</v>
      </c>
      <c r="D143" s="1" t="s">
        <v>16</v>
      </c>
      <c r="E143" s="1">
        <v>5</v>
      </c>
      <c r="F143" s="1">
        <v>240</v>
      </c>
      <c r="G143" s="1">
        <v>-7.71</v>
      </c>
      <c r="H143" s="1">
        <v>0</v>
      </c>
      <c r="I143" s="1">
        <v>13.94</v>
      </c>
      <c r="J143" s="1">
        <v>23.23</v>
      </c>
      <c r="K143" s="1">
        <v>269.45999999999998</v>
      </c>
      <c r="M143" s="7">
        <f t="shared" si="2"/>
        <v>6.0011192905419952E-2</v>
      </c>
    </row>
    <row r="144" spans="1:13" x14ac:dyDescent="0.4">
      <c r="A144" s="1" t="s">
        <v>133</v>
      </c>
      <c r="B144" s="1" t="s">
        <v>139</v>
      </c>
      <c r="C144" s="1" t="s">
        <v>88</v>
      </c>
      <c r="D144" s="1" t="s">
        <v>16</v>
      </c>
      <c r="E144" s="1">
        <v>2</v>
      </c>
      <c r="F144" s="1">
        <v>76</v>
      </c>
      <c r="G144" s="1">
        <v>-3.02</v>
      </c>
      <c r="H144" s="1">
        <v>0</v>
      </c>
      <c r="I144" s="1">
        <v>4.38</v>
      </c>
      <c r="J144" s="1">
        <v>7.3</v>
      </c>
      <c r="K144" s="1">
        <v>84.66</v>
      </c>
      <c r="M144" s="7">
        <f t="shared" si="2"/>
        <v>6.0016442861057819E-2</v>
      </c>
    </row>
    <row r="145" spans="1:13" x14ac:dyDescent="0.4">
      <c r="A145" s="1" t="s">
        <v>133</v>
      </c>
      <c r="B145" s="1" t="s">
        <v>139</v>
      </c>
      <c r="C145" s="1" t="s">
        <v>68</v>
      </c>
      <c r="D145" s="1" t="s">
        <v>16</v>
      </c>
      <c r="E145" s="1">
        <v>10</v>
      </c>
      <c r="F145" s="1">
        <v>200</v>
      </c>
      <c r="G145" s="1">
        <v>0</v>
      </c>
      <c r="H145" s="1">
        <v>0</v>
      </c>
      <c r="I145" s="1">
        <v>12</v>
      </c>
      <c r="J145" s="1">
        <v>18</v>
      </c>
      <c r="K145" s="1">
        <v>230</v>
      </c>
      <c r="M145">
        <f t="shared" si="2"/>
        <v>0.06</v>
      </c>
    </row>
    <row r="146" spans="1:13" x14ac:dyDescent="0.4">
      <c r="A146" s="1" t="s">
        <v>133</v>
      </c>
      <c r="B146" s="1" t="s">
        <v>140</v>
      </c>
      <c r="C146" s="1" t="s">
        <v>141</v>
      </c>
      <c r="D146" s="1" t="s">
        <v>16</v>
      </c>
      <c r="E146" s="1">
        <v>1</v>
      </c>
      <c r="F146" s="1">
        <v>88</v>
      </c>
      <c r="G146" s="1">
        <v>0</v>
      </c>
      <c r="H146" s="1">
        <v>0</v>
      </c>
      <c r="I146" s="1">
        <v>5.28</v>
      </c>
      <c r="J146" s="1">
        <v>8.8000000000000007</v>
      </c>
      <c r="K146" s="1">
        <v>102.08</v>
      </c>
      <c r="M146">
        <f t="shared" si="2"/>
        <v>6.0000000000000005E-2</v>
      </c>
    </row>
    <row r="147" spans="1:13" x14ac:dyDescent="0.4">
      <c r="A147" s="1" t="s">
        <v>133</v>
      </c>
      <c r="B147" s="1" t="s">
        <v>142</v>
      </c>
      <c r="C147" s="1" t="s">
        <v>16</v>
      </c>
      <c r="D147" s="1" t="s">
        <v>16</v>
      </c>
      <c r="E147" s="1">
        <v>24</v>
      </c>
      <c r="F147" s="1">
        <v>672</v>
      </c>
      <c r="G147" s="1">
        <v>-23.7</v>
      </c>
      <c r="H147" s="1">
        <v>0</v>
      </c>
      <c r="I147" s="1">
        <v>38.9</v>
      </c>
      <c r="J147" s="1">
        <v>59.23</v>
      </c>
      <c r="K147" s="1">
        <v>746.43</v>
      </c>
      <c r="M147" s="7">
        <f t="shared" si="2"/>
        <v>6.0003084991516277E-2</v>
      </c>
    </row>
    <row r="148" spans="1:13" x14ac:dyDescent="0.4">
      <c r="A148" s="1" t="s">
        <v>133</v>
      </c>
      <c r="B148" s="1" t="s">
        <v>143</v>
      </c>
      <c r="C148" s="1" t="s">
        <v>68</v>
      </c>
      <c r="D148" s="1" t="s">
        <v>16</v>
      </c>
      <c r="E148" s="1">
        <v>1</v>
      </c>
      <c r="F148" s="1">
        <v>28</v>
      </c>
      <c r="G148" s="1">
        <v>0</v>
      </c>
      <c r="H148" s="1">
        <v>0</v>
      </c>
      <c r="I148" s="1">
        <v>1.68</v>
      </c>
      <c r="J148" s="1">
        <v>2.8</v>
      </c>
      <c r="K148" s="1">
        <v>32.479999999999997</v>
      </c>
      <c r="M148">
        <f t="shared" si="2"/>
        <v>0.06</v>
      </c>
    </row>
    <row r="149" spans="1:13" x14ac:dyDescent="0.4">
      <c r="A149" s="3" t="s">
        <v>144</v>
      </c>
      <c r="B149" s="3" t="s">
        <v>16</v>
      </c>
      <c r="C149" s="3" t="s">
        <v>16</v>
      </c>
      <c r="D149" s="3" t="s">
        <v>16</v>
      </c>
      <c r="E149" s="3">
        <v>12</v>
      </c>
      <c r="F149" s="3">
        <v>1156</v>
      </c>
      <c r="G149" s="3">
        <v>-12.03</v>
      </c>
      <c r="H149" s="3">
        <v>0</v>
      </c>
      <c r="I149" s="3">
        <v>68.64</v>
      </c>
      <c r="J149" s="3">
        <v>114.4</v>
      </c>
      <c r="K149" s="3">
        <v>1327.01</v>
      </c>
      <c r="M149" s="7">
        <f t="shared" si="2"/>
        <v>6.0001573467835696E-2</v>
      </c>
    </row>
    <row r="150" spans="1:13" x14ac:dyDescent="0.4">
      <c r="A150" s="1" t="s">
        <v>144</v>
      </c>
      <c r="B150" s="1" t="s">
        <v>145</v>
      </c>
      <c r="C150" s="1" t="s">
        <v>16</v>
      </c>
      <c r="D150" s="1" t="s">
        <v>16</v>
      </c>
      <c r="E150" s="1">
        <v>8</v>
      </c>
      <c r="F150" s="1">
        <v>944</v>
      </c>
      <c r="G150" s="1">
        <v>-12.03</v>
      </c>
      <c r="H150" s="1">
        <v>0</v>
      </c>
      <c r="I150" s="1">
        <v>55.92</v>
      </c>
      <c r="J150" s="1">
        <v>93.2</v>
      </c>
      <c r="K150" s="1">
        <v>1081.0899999999999</v>
      </c>
      <c r="M150" s="7">
        <f t="shared" si="2"/>
        <v>6.0001931392641393E-2</v>
      </c>
    </row>
    <row r="151" spans="1:13" x14ac:dyDescent="0.4">
      <c r="A151" s="1" t="s">
        <v>144</v>
      </c>
      <c r="B151" s="1" t="s">
        <v>146</v>
      </c>
      <c r="C151" s="1" t="s">
        <v>88</v>
      </c>
      <c r="D151" s="1" t="s">
        <v>16</v>
      </c>
      <c r="E151" s="1">
        <v>1</v>
      </c>
      <c r="F151" s="1">
        <v>68</v>
      </c>
      <c r="G151" s="1">
        <v>0</v>
      </c>
      <c r="H151" s="1">
        <v>0</v>
      </c>
      <c r="I151" s="1">
        <v>4.08</v>
      </c>
      <c r="J151" s="1">
        <v>6.8</v>
      </c>
      <c r="K151" s="1">
        <v>78.88</v>
      </c>
      <c r="M151">
        <f t="shared" si="2"/>
        <v>0.06</v>
      </c>
    </row>
    <row r="152" spans="1:13" x14ac:dyDescent="0.4">
      <c r="A152" s="1" t="s">
        <v>144</v>
      </c>
      <c r="B152" s="1" t="s">
        <v>146</v>
      </c>
      <c r="C152" s="1" t="s">
        <v>68</v>
      </c>
      <c r="D152" s="1" t="s">
        <v>16</v>
      </c>
      <c r="E152" s="1">
        <v>3</v>
      </c>
      <c r="F152" s="1">
        <v>144</v>
      </c>
      <c r="G152" s="1">
        <v>0</v>
      </c>
      <c r="H152" s="1">
        <v>0</v>
      </c>
      <c r="I152" s="1">
        <v>8.64</v>
      </c>
      <c r="J152" s="1">
        <v>14.4</v>
      </c>
      <c r="K152" s="1">
        <v>167.04</v>
      </c>
      <c r="M152">
        <f t="shared" si="2"/>
        <v>6.0000000000000005E-2</v>
      </c>
    </row>
    <row r="153" spans="1:13" x14ac:dyDescent="0.4">
      <c r="A153" s="3" t="s">
        <v>147</v>
      </c>
      <c r="B153" s="3" t="s">
        <v>16</v>
      </c>
      <c r="C153" s="3" t="s">
        <v>16</v>
      </c>
      <c r="D153" s="3" t="s">
        <v>16</v>
      </c>
      <c r="E153" s="3">
        <v>156</v>
      </c>
      <c r="F153" s="3">
        <v>5834</v>
      </c>
      <c r="G153" s="3">
        <v>-88.97</v>
      </c>
      <c r="H153" s="3">
        <v>0</v>
      </c>
      <c r="I153" s="3">
        <v>344.7</v>
      </c>
      <c r="J153" s="3">
        <v>548.79999999999995</v>
      </c>
      <c r="K153" s="3">
        <v>6638.53</v>
      </c>
      <c r="M153">
        <f t="shared" si="2"/>
        <v>5.9999686685709215E-2</v>
      </c>
    </row>
    <row r="154" spans="1:13" x14ac:dyDescent="0.4">
      <c r="A154" s="1" t="s">
        <v>147</v>
      </c>
      <c r="B154" s="1" t="s">
        <v>148</v>
      </c>
      <c r="C154" s="1" t="s">
        <v>68</v>
      </c>
      <c r="D154" s="1" t="s">
        <v>16</v>
      </c>
      <c r="E154" s="1">
        <v>5</v>
      </c>
      <c r="F154" s="1">
        <v>210</v>
      </c>
      <c r="G154" s="1">
        <v>0</v>
      </c>
      <c r="H154" s="1">
        <v>0</v>
      </c>
      <c r="I154" s="1">
        <v>12.6</v>
      </c>
      <c r="J154" s="1">
        <v>21</v>
      </c>
      <c r="K154" s="1">
        <v>243.6</v>
      </c>
      <c r="M154">
        <f t="shared" si="2"/>
        <v>0.06</v>
      </c>
    </row>
    <row r="155" spans="1:13" x14ac:dyDescent="0.4">
      <c r="A155" s="1" t="s">
        <v>147</v>
      </c>
      <c r="B155" s="1" t="s">
        <v>149</v>
      </c>
      <c r="C155" s="1" t="s">
        <v>68</v>
      </c>
      <c r="D155" s="1" t="s">
        <v>16</v>
      </c>
      <c r="E155" s="1">
        <v>8</v>
      </c>
      <c r="F155" s="1">
        <v>224</v>
      </c>
      <c r="G155" s="1">
        <v>-3.48</v>
      </c>
      <c r="H155" s="1">
        <v>0</v>
      </c>
      <c r="I155" s="1">
        <v>13.23</v>
      </c>
      <c r="J155" s="1">
        <v>22.05</v>
      </c>
      <c r="K155" s="1">
        <v>255.8</v>
      </c>
      <c r="M155" s="7">
        <f t="shared" si="2"/>
        <v>5.9994558316705963E-2</v>
      </c>
    </row>
    <row r="156" spans="1:13" x14ac:dyDescent="0.4">
      <c r="A156" s="1" t="s">
        <v>147</v>
      </c>
      <c r="B156" s="1" t="s">
        <v>149</v>
      </c>
      <c r="C156" s="1" t="s">
        <v>88</v>
      </c>
      <c r="D156" s="1" t="s">
        <v>16</v>
      </c>
      <c r="E156" s="1">
        <v>1</v>
      </c>
      <c r="F156" s="1">
        <v>48</v>
      </c>
      <c r="G156" s="1">
        <v>0</v>
      </c>
      <c r="H156" s="1">
        <v>0</v>
      </c>
      <c r="I156" s="1">
        <v>2.88</v>
      </c>
      <c r="J156" s="1">
        <v>0</v>
      </c>
      <c r="K156" s="1">
        <v>50.88</v>
      </c>
      <c r="M156">
        <f t="shared" si="2"/>
        <v>0.06</v>
      </c>
    </row>
    <row r="157" spans="1:13" x14ac:dyDescent="0.4">
      <c r="A157" s="1" t="s">
        <v>147</v>
      </c>
      <c r="B157" s="1" t="s">
        <v>149</v>
      </c>
      <c r="C157" s="1" t="s">
        <v>91</v>
      </c>
      <c r="D157" s="1" t="s">
        <v>16</v>
      </c>
      <c r="E157" s="1">
        <v>4</v>
      </c>
      <c r="F157" s="1">
        <v>152</v>
      </c>
      <c r="G157" s="1">
        <v>0</v>
      </c>
      <c r="H157" s="1">
        <v>0</v>
      </c>
      <c r="I157" s="1">
        <v>9.1199999999999992</v>
      </c>
      <c r="J157" s="1">
        <v>11.4</v>
      </c>
      <c r="K157" s="1">
        <v>172.52</v>
      </c>
      <c r="M157">
        <f t="shared" si="2"/>
        <v>0.06</v>
      </c>
    </row>
    <row r="158" spans="1:13" x14ac:dyDescent="0.4">
      <c r="A158" s="1" t="s">
        <v>147</v>
      </c>
      <c r="B158" s="1" t="s">
        <v>150</v>
      </c>
      <c r="C158" s="1" t="s">
        <v>68</v>
      </c>
      <c r="D158" s="1" t="s">
        <v>16</v>
      </c>
      <c r="E158" s="1">
        <v>1</v>
      </c>
      <c r="F158" s="1">
        <v>28</v>
      </c>
      <c r="G158" s="1">
        <v>0</v>
      </c>
      <c r="H158" s="1">
        <v>0</v>
      </c>
      <c r="I158" s="1">
        <v>1.68</v>
      </c>
      <c r="J158" s="1">
        <v>2.8</v>
      </c>
      <c r="K158" s="1">
        <v>32.479999999999997</v>
      </c>
      <c r="M158">
        <f t="shared" si="2"/>
        <v>0.06</v>
      </c>
    </row>
    <row r="159" spans="1:13" x14ac:dyDescent="0.4">
      <c r="A159" s="1" t="s">
        <v>147</v>
      </c>
      <c r="B159" s="1" t="s">
        <v>151</v>
      </c>
      <c r="C159" s="1" t="s">
        <v>91</v>
      </c>
      <c r="D159" s="1" t="s">
        <v>16</v>
      </c>
      <c r="E159" s="1">
        <v>9</v>
      </c>
      <c r="F159" s="1">
        <v>297</v>
      </c>
      <c r="G159" s="1">
        <v>-3.38</v>
      </c>
      <c r="H159" s="1">
        <v>0</v>
      </c>
      <c r="I159" s="1">
        <v>17.62</v>
      </c>
      <c r="J159" s="1">
        <v>29.36</v>
      </c>
      <c r="K159" s="1">
        <v>340.6</v>
      </c>
      <c r="M159" s="7">
        <f t="shared" si="2"/>
        <v>6.0009536135140658E-2</v>
      </c>
    </row>
    <row r="160" spans="1:13" x14ac:dyDescent="0.4">
      <c r="A160" s="1" t="s">
        <v>147</v>
      </c>
      <c r="B160" s="1" t="s">
        <v>151</v>
      </c>
      <c r="C160" s="1" t="s">
        <v>88</v>
      </c>
      <c r="D160" s="1" t="s">
        <v>16</v>
      </c>
      <c r="E160" s="1">
        <v>8</v>
      </c>
      <c r="F160" s="1">
        <v>352</v>
      </c>
      <c r="G160" s="1">
        <v>0</v>
      </c>
      <c r="H160" s="1">
        <v>0</v>
      </c>
      <c r="I160" s="1">
        <v>21.12</v>
      </c>
      <c r="J160" s="1">
        <v>35.200000000000003</v>
      </c>
      <c r="K160" s="1">
        <v>408.32</v>
      </c>
      <c r="M160">
        <f t="shared" si="2"/>
        <v>6.0000000000000005E-2</v>
      </c>
    </row>
    <row r="161" spans="1:13" x14ac:dyDescent="0.4">
      <c r="A161" s="1" t="s">
        <v>147</v>
      </c>
      <c r="B161" s="1" t="s">
        <v>151</v>
      </c>
      <c r="C161" s="1" t="s">
        <v>68</v>
      </c>
      <c r="D161" s="1" t="s">
        <v>16</v>
      </c>
      <c r="E161" s="1">
        <v>33</v>
      </c>
      <c r="F161" s="1">
        <v>726</v>
      </c>
      <c r="G161" s="1">
        <v>-7.74</v>
      </c>
      <c r="H161" s="1">
        <v>0</v>
      </c>
      <c r="I161" s="1">
        <v>43.1</v>
      </c>
      <c r="J161" s="1">
        <v>67.430000000000007</v>
      </c>
      <c r="K161" s="1">
        <v>828.78</v>
      </c>
      <c r="M161" s="7">
        <f t="shared" si="2"/>
        <v>6.0006125915406681E-2</v>
      </c>
    </row>
    <row r="162" spans="1:13" x14ac:dyDescent="0.4">
      <c r="A162" s="1" t="s">
        <v>147</v>
      </c>
      <c r="B162" s="1" t="s">
        <v>152</v>
      </c>
      <c r="C162" s="1" t="s">
        <v>91</v>
      </c>
      <c r="D162" s="1" t="s">
        <v>16</v>
      </c>
      <c r="E162" s="1">
        <v>7</v>
      </c>
      <c r="F162" s="1">
        <v>231</v>
      </c>
      <c r="G162" s="1">
        <v>-3.4</v>
      </c>
      <c r="H162" s="1">
        <v>0</v>
      </c>
      <c r="I162" s="1">
        <v>13.66</v>
      </c>
      <c r="J162" s="1">
        <v>19.46</v>
      </c>
      <c r="K162" s="1">
        <v>260.72000000000003</v>
      </c>
      <c r="M162" s="7">
        <f t="shared" si="2"/>
        <v>6.0017574692442885E-2</v>
      </c>
    </row>
    <row r="163" spans="1:13" x14ac:dyDescent="0.4">
      <c r="A163" s="1" t="s">
        <v>147</v>
      </c>
      <c r="B163" s="1" t="s">
        <v>152</v>
      </c>
      <c r="C163" s="1" t="s">
        <v>68</v>
      </c>
      <c r="D163" s="1" t="s">
        <v>16</v>
      </c>
      <c r="E163" s="1">
        <v>32</v>
      </c>
      <c r="F163" s="1">
        <v>704</v>
      </c>
      <c r="G163" s="1">
        <v>-5.78</v>
      </c>
      <c r="H163" s="1">
        <v>0</v>
      </c>
      <c r="I163" s="1">
        <v>41.89</v>
      </c>
      <c r="J163" s="1">
        <v>63.22</v>
      </c>
      <c r="K163" s="1">
        <v>803.34</v>
      </c>
      <c r="M163" s="7">
        <f t="shared" si="2"/>
        <v>5.9995416917303999E-2</v>
      </c>
    </row>
    <row r="164" spans="1:13" x14ac:dyDescent="0.4">
      <c r="A164" s="1" t="s">
        <v>147</v>
      </c>
      <c r="B164" s="1" t="s">
        <v>153</v>
      </c>
      <c r="C164" s="1" t="s">
        <v>68</v>
      </c>
      <c r="D164" s="1" t="s">
        <v>16</v>
      </c>
      <c r="E164" s="1">
        <v>1</v>
      </c>
      <c r="F164" s="1">
        <v>28</v>
      </c>
      <c r="G164" s="1">
        <v>0</v>
      </c>
      <c r="H164" s="1">
        <v>0</v>
      </c>
      <c r="I164" s="1">
        <v>1.68</v>
      </c>
      <c r="J164" s="1">
        <v>2.8</v>
      </c>
      <c r="K164" s="1">
        <v>32.479999999999997</v>
      </c>
      <c r="M164">
        <f t="shared" si="2"/>
        <v>0.06</v>
      </c>
    </row>
    <row r="165" spans="1:13" x14ac:dyDescent="0.4">
      <c r="A165" s="1" t="s">
        <v>147</v>
      </c>
      <c r="B165" s="1" t="s">
        <v>153</v>
      </c>
      <c r="C165" s="1" t="s">
        <v>91</v>
      </c>
      <c r="D165" s="1" t="s">
        <v>16</v>
      </c>
      <c r="E165" s="1">
        <v>2</v>
      </c>
      <c r="F165" s="1">
        <v>76</v>
      </c>
      <c r="G165" s="1">
        <v>0</v>
      </c>
      <c r="H165" s="1">
        <v>0</v>
      </c>
      <c r="I165" s="1">
        <v>4.5599999999999996</v>
      </c>
      <c r="J165" s="1">
        <v>7.6</v>
      </c>
      <c r="K165" s="1">
        <v>88.16</v>
      </c>
      <c r="M165">
        <f t="shared" si="2"/>
        <v>0.06</v>
      </c>
    </row>
    <row r="166" spans="1:13" x14ac:dyDescent="0.4">
      <c r="A166" s="1" t="s">
        <v>147</v>
      </c>
      <c r="B166" s="1" t="s">
        <v>154</v>
      </c>
      <c r="C166" s="1" t="s">
        <v>88</v>
      </c>
      <c r="D166" s="1" t="s">
        <v>16</v>
      </c>
      <c r="E166" s="1">
        <v>1</v>
      </c>
      <c r="F166" s="1">
        <v>44</v>
      </c>
      <c r="G166" s="1">
        <v>0</v>
      </c>
      <c r="H166" s="1">
        <v>0</v>
      </c>
      <c r="I166" s="1">
        <v>2.64</v>
      </c>
      <c r="J166" s="1">
        <v>4.4000000000000004</v>
      </c>
      <c r="K166" s="1">
        <v>51.04</v>
      </c>
      <c r="M166">
        <f t="shared" si="2"/>
        <v>6.0000000000000005E-2</v>
      </c>
    </row>
    <row r="167" spans="1:13" x14ac:dyDescent="0.4">
      <c r="A167" s="1" t="s">
        <v>147</v>
      </c>
      <c r="B167" s="1" t="s">
        <v>154</v>
      </c>
      <c r="C167" s="1" t="s">
        <v>68</v>
      </c>
      <c r="D167" s="1" t="s">
        <v>16</v>
      </c>
      <c r="E167" s="1">
        <v>3</v>
      </c>
      <c r="F167" s="1">
        <v>66</v>
      </c>
      <c r="G167" s="1">
        <v>0</v>
      </c>
      <c r="H167" s="1">
        <v>0</v>
      </c>
      <c r="I167" s="1">
        <v>3.96</v>
      </c>
      <c r="J167" s="1">
        <v>6.6</v>
      </c>
      <c r="K167" s="1">
        <v>76.56</v>
      </c>
      <c r="M167">
        <f t="shared" si="2"/>
        <v>0.06</v>
      </c>
    </row>
    <row r="168" spans="1:13" x14ac:dyDescent="0.4">
      <c r="A168" s="1" t="s">
        <v>147</v>
      </c>
      <c r="B168" s="1" t="s">
        <v>155</v>
      </c>
      <c r="C168" s="1" t="s">
        <v>68</v>
      </c>
      <c r="D168" s="1" t="s">
        <v>16</v>
      </c>
      <c r="E168" s="1">
        <v>2</v>
      </c>
      <c r="F168" s="1">
        <v>84</v>
      </c>
      <c r="G168" s="1">
        <v>0</v>
      </c>
      <c r="H168" s="1">
        <v>0</v>
      </c>
      <c r="I168" s="1">
        <v>5.04</v>
      </c>
      <c r="J168" s="1">
        <v>8.4</v>
      </c>
      <c r="K168" s="1">
        <v>97.44</v>
      </c>
      <c r="M168">
        <f t="shared" si="2"/>
        <v>0.06</v>
      </c>
    </row>
    <row r="169" spans="1:13" x14ac:dyDescent="0.4">
      <c r="A169" s="1" t="s">
        <v>147</v>
      </c>
      <c r="B169" s="1" t="s">
        <v>156</v>
      </c>
      <c r="C169" s="1" t="s">
        <v>91</v>
      </c>
      <c r="D169" s="1" t="s">
        <v>16</v>
      </c>
      <c r="E169" s="1">
        <v>2</v>
      </c>
      <c r="F169" s="1">
        <v>76</v>
      </c>
      <c r="G169" s="1">
        <v>0</v>
      </c>
      <c r="H169" s="1">
        <v>0</v>
      </c>
      <c r="I169" s="1">
        <v>4.5599999999999996</v>
      </c>
      <c r="J169" s="1">
        <v>7.6</v>
      </c>
      <c r="K169" s="1">
        <v>88.16</v>
      </c>
      <c r="M169">
        <f t="shared" si="2"/>
        <v>0.06</v>
      </c>
    </row>
    <row r="170" spans="1:13" x14ac:dyDescent="0.4">
      <c r="A170" s="1" t="s">
        <v>147</v>
      </c>
      <c r="B170" s="1" t="s">
        <v>156</v>
      </c>
      <c r="C170" s="1" t="s">
        <v>68</v>
      </c>
      <c r="D170" s="1" t="s">
        <v>16</v>
      </c>
      <c r="E170" s="1">
        <v>4</v>
      </c>
      <c r="F170" s="1">
        <v>112</v>
      </c>
      <c r="G170" s="1">
        <v>0</v>
      </c>
      <c r="H170" s="1">
        <v>0</v>
      </c>
      <c r="I170" s="1">
        <v>6.72</v>
      </c>
      <c r="J170" s="1">
        <v>11.2</v>
      </c>
      <c r="K170" s="1">
        <v>129.91999999999999</v>
      </c>
      <c r="M170">
        <f t="shared" si="2"/>
        <v>0.06</v>
      </c>
    </row>
    <row r="171" spans="1:13" x14ac:dyDescent="0.4">
      <c r="A171" s="1" t="s">
        <v>147</v>
      </c>
      <c r="B171" s="1" t="s">
        <v>157</v>
      </c>
      <c r="C171" s="1" t="s">
        <v>158</v>
      </c>
      <c r="D171" s="1" t="s">
        <v>16</v>
      </c>
      <c r="E171" s="1">
        <v>4</v>
      </c>
      <c r="F171" s="1">
        <v>312</v>
      </c>
      <c r="G171" s="1">
        <v>-8.0399999999999991</v>
      </c>
      <c r="H171" s="1">
        <v>0</v>
      </c>
      <c r="I171" s="1">
        <v>18.239999999999998</v>
      </c>
      <c r="J171" s="1">
        <v>30.4</v>
      </c>
      <c r="K171" s="1">
        <v>352.59</v>
      </c>
      <c r="M171" s="7">
        <f t="shared" si="2"/>
        <v>6.0007895775759969E-2</v>
      </c>
    </row>
    <row r="172" spans="1:13" x14ac:dyDescent="0.4">
      <c r="A172" s="1" t="s">
        <v>147</v>
      </c>
      <c r="B172" s="1" t="s">
        <v>157</v>
      </c>
      <c r="C172" s="1" t="s">
        <v>16</v>
      </c>
      <c r="D172" s="1" t="s">
        <v>16</v>
      </c>
      <c r="E172" s="1">
        <v>6</v>
      </c>
      <c r="F172" s="1">
        <v>468</v>
      </c>
      <c r="G172" s="1">
        <v>0</v>
      </c>
      <c r="H172" s="1">
        <v>0</v>
      </c>
      <c r="I172" s="1">
        <v>28.08</v>
      </c>
      <c r="J172" s="1">
        <v>46.8</v>
      </c>
      <c r="K172" s="1">
        <v>542.88</v>
      </c>
      <c r="M172">
        <f t="shared" si="2"/>
        <v>0.06</v>
      </c>
    </row>
    <row r="173" spans="1:13" x14ac:dyDescent="0.4">
      <c r="A173" s="1" t="s">
        <v>147</v>
      </c>
      <c r="B173" s="1" t="s">
        <v>159</v>
      </c>
      <c r="C173" s="1" t="s">
        <v>68</v>
      </c>
      <c r="D173" s="1" t="s">
        <v>16</v>
      </c>
      <c r="E173" s="1">
        <v>2</v>
      </c>
      <c r="F173" s="1">
        <v>56</v>
      </c>
      <c r="G173" s="1">
        <v>0</v>
      </c>
      <c r="H173" s="1">
        <v>0</v>
      </c>
      <c r="I173" s="1">
        <v>3.36</v>
      </c>
      <c r="J173" s="1">
        <v>2.8</v>
      </c>
      <c r="K173" s="1">
        <v>62.16</v>
      </c>
      <c r="M173">
        <f t="shared" si="2"/>
        <v>0.06</v>
      </c>
    </row>
    <row r="174" spans="1:13" x14ac:dyDescent="0.4">
      <c r="A174" s="1" t="s">
        <v>147</v>
      </c>
      <c r="B174" s="1" t="s">
        <v>160</v>
      </c>
      <c r="C174" s="1" t="s">
        <v>68</v>
      </c>
      <c r="D174" s="1" t="s">
        <v>16</v>
      </c>
      <c r="E174" s="1">
        <v>1</v>
      </c>
      <c r="F174" s="1">
        <v>28</v>
      </c>
      <c r="G174" s="1">
        <v>0</v>
      </c>
      <c r="H174" s="1">
        <v>0</v>
      </c>
      <c r="I174" s="1">
        <v>1.68</v>
      </c>
      <c r="J174" s="1">
        <v>2.8</v>
      </c>
      <c r="K174" s="1">
        <v>32.479999999999997</v>
      </c>
      <c r="M174">
        <f t="shared" si="2"/>
        <v>0.06</v>
      </c>
    </row>
    <row r="175" spans="1:13" x14ac:dyDescent="0.4">
      <c r="A175" s="1" t="s">
        <v>147</v>
      </c>
      <c r="B175" s="1" t="s">
        <v>161</v>
      </c>
      <c r="C175" s="1" t="s">
        <v>68</v>
      </c>
      <c r="D175" s="1" t="s">
        <v>16</v>
      </c>
      <c r="E175" s="1">
        <v>3</v>
      </c>
      <c r="F175" s="1">
        <v>84</v>
      </c>
      <c r="G175" s="1">
        <v>0</v>
      </c>
      <c r="H175" s="1">
        <v>0</v>
      </c>
      <c r="I175" s="1">
        <v>5.04</v>
      </c>
      <c r="J175" s="1">
        <v>8.4</v>
      </c>
      <c r="K175" s="1">
        <v>97.44</v>
      </c>
      <c r="M175">
        <f t="shared" si="2"/>
        <v>0.06</v>
      </c>
    </row>
    <row r="176" spans="1:13" x14ac:dyDescent="0.4">
      <c r="A176" s="1" t="s">
        <v>147</v>
      </c>
      <c r="B176" s="1" t="s">
        <v>162</v>
      </c>
      <c r="C176" s="1" t="s">
        <v>68</v>
      </c>
      <c r="D176" s="1" t="s">
        <v>16</v>
      </c>
      <c r="E176" s="1">
        <v>17</v>
      </c>
      <c r="F176" s="1">
        <v>1428</v>
      </c>
      <c r="G176" s="1">
        <v>-57.15</v>
      </c>
      <c r="H176" s="1">
        <v>0</v>
      </c>
      <c r="I176" s="1">
        <v>82.25</v>
      </c>
      <c r="J176" s="1">
        <v>137.09</v>
      </c>
      <c r="K176" s="1">
        <v>1590.19</v>
      </c>
      <c r="M176" s="7">
        <f t="shared" si="2"/>
        <v>5.9999270525586318E-2</v>
      </c>
    </row>
    <row r="177" spans="1:13" x14ac:dyDescent="0.4">
      <c r="A177" s="3" t="s">
        <v>163</v>
      </c>
      <c r="B177" s="3" t="s">
        <v>16</v>
      </c>
      <c r="C177" s="3" t="s">
        <v>16</v>
      </c>
      <c r="D177" s="3" t="s">
        <v>16</v>
      </c>
      <c r="E177" s="3">
        <v>73</v>
      </c>
      <c r="F177" s="3">
        <v>2472</v>
      </c>
      <c r="G177" s="3">
        <v>-34.68</v>
      </c>
      <c r="H177" s="3">
        <v>0</v>
      </c>
      <c r="I177" s="3">
        <v>146.24</v>
      </c>
      <c r="J177" s="3">
        <v>218.13</v>
      </c>
      <c r="K177" s="3">
        <v>2801.69</v>
      </c>
      <c r="M177">
        <f t="shared" si="2"/>
        <v>6.0000328229366684E-2</v>
      </c>
    </row>
    <row r="178" spans="1:13" x14ac:dyDescent="0.4">
      <c r="A178" s="1" t="s">
        <v>163</v>
      </c>
      <c r="B178" s="1" t="s">
        <v>164</v>
      </c>
      <c r="C178" s="1" t="s">
        <v>68</v>
      </c>
      <c r="D178" s="1" t="s">
        <v>16</v>
      </c>
      <c r="E178" s="1">
        <v>1</v>
      </c>
      <c r="F178" s="1">
        <v>30</v>
      </c>
      <c r="G178" s="1">
        <v>0</v>
      </c>
      <c r="H178" s="1">
        <v>0</v>
      </c>
      <c r="I178" s="1">
        <v>1.8</v>
      </c>
      <c r="J178" s="1">
        <v>3</v>
      </c>
      <c r="K178" s="1">
        <v>34.799999999999997</v>
      </c>
      <c r="M178">
        <f t="shared" si="2"/>
        <v>6.0000000000000005E-2</v>
      </c>
    </row>
    <row r="179" spans="1:13" x14ac:dyDescent="0.4">
      <c r="A179" s="1" t="s">
        <v>163</v>
      </c>
      <c r="B179" s="1" t="s">
        <v>165</v>
      </c>
      <c r="C179" s="1" t="s">
        <v>68</v>
      </c>
      <c r="D179" s="1" t="s">
        <v>16</v>
      </c>
      <c r="E179" s="1">
        <v>22</v>
      </c>
      <c r="F179" s="1">
        <v>660</v>
      </c>
      <c r="G179" s="1">
        <v>-4.3499999999999996</v>
      </c>
      <c r="H179" s="1">
        <v>0</v>
      </c>
      <c r="I179" s="1">
        <v>39.340000000000003</v>
      </c>
      <c r="J179" s="1">
        <v>56.57</v>
      </c>
      <c r="K179" s="1">
        <v>751.55</v>
      </c>
      <c r="M179" s="7">
        <f t="shared" si="2"/>
        <v>6.0001525203996042E-2</v>
      </c>
    </row>
    <row r="180" spans="1:13" x14ac:dyDescent="0.4">
      <c r="A180" s="1" t="s">
        <v>163</v>
      </c>
      <c r="B180" s="1" t="s">
        <v>165</v>
      </c>
      <c r="C180" s="1" t="s">
        <v>91</v>
      </c>
      <c r="D180" s="1" t="s">
        <v>16</v>
      </c>
      <c r="E180" s="1">
        <v>7</v>
      </c>
      <c r="F180" s="1">
        <v>266</v>
      </c>
      <c r="G180" s="1">
        <v>-7.74</v>
      </c>
      <c r="H180" s="1">
        <v>0</v>
      </c>
      <c r="I180" s="1">
        <v>15.5</v>
      </c>
      <c r="J180" s="1">
        <v>25.83</v>
      </c>
      <c r="K180" s="1">
        <v>299.58</v>
      </c>
      <c r="M180" s="7">
        <f t="shared" si="2"/>
        <v>6.0017037094400996E-2</v>
      </c>
    </row>
    <row r="181" spans="1:13" x14ac:dyDescent="0.4">
      <c r="A181" s="1" t="s">
        <v>163</v>
      </c>
      <c r="B181" s="1" t="s">
        <v>165</v>
      </c>
      <c r="C181" s="1" t="s">
        <v>88</v>
      </c>
      <c r="D181" s="1" t="s">
        <v>16</v>
      </c>
      <c r="E181" s="1">
        <v>4</v>
      </c>
      <c r="F181" s="1">
        <v>192</v>
      </c>
      <c r="G181" s="1">
        <v>-9.1</v>
      </c>
      <c r="H181" s="1">
        <v>0</v>
      </c>
      <c r="I181" s="1">
        <v>10.97</v>
      </c>
      <c r="J181" s="1">
        <v>18.29</v>
      </c>
      <c r="K181" s="1">
        <v>212.16</v>
      </c>
      <c r="M181" s="7">
        <f t="shared" si="2"/>
        <v>5.9978130125751782E-2</v>
      </c>
    </row>
    <row r="182" spans="1:13" x14ac:dyDescent="0.4">
      <c r="A182" s="1" t="s">
        <v>163</v>
      </c>
      <c r="B182" s="1" t="s">
        <v>166</v>
      </c>
      <c r="C182" s="1" t="s">
        <v>68</v>
      </c>
      <c r="D182" s="1" t="s">
        <v>16</v>
      </c>
      <c r="E182" s="1">
        <v>1</v>
      </c>
      <c r="F182" s="1">
        <v>30</v>
      </c>
      <c r="G182" s="1">
        <v>0</v>
      </c>
      <c r="H182" s="1">
        <v>0</v>
      </c>
      <c r="I182" s="1">
        <v>1.8</v>
      </c>
      <c r="J182" s="1">
        <v>3</v>
      </c>
      <c r="K182" s="1">
        <v>34.799999999999997</v>
      </c>
      <c r="M182">
        <f t="shared" si="2"/>
        <v>6.0000000000000005E-2</v>
      </c>
    </row>
    <row r="183" spans="1:13" x14ac:dyDescent="0.4">
      <c r="A183" s="1" t="s">
        <v>163</v>
      </c>
      <c r="B183" s="1" t="s">
        <v>167</v>
      </c>
      <c r="C183" s="1" t="s">
        <v>91</v>
      </c>
      <c r="D183" s="1" t="s">
        <v>16</v>
      </c>
      <c r="E183" s="1">
        <v>1</v>
      </c>
      <c r="F183" s="1">
        <v>38</v>
      </c>
      <c r="G183" s="1">
        <v>0</v>
      </c>
      <c r="H183" s="1">
        <v>0</v>
      </c>
      <c r="I183" s="1">
        <v>2.2799999999999998</v>
      </c>
      <c r="J183" s="1">
        <v>0</v>
      </c>
      <c r="K183" s="1">
        <v>40.28</v>
      </c>
      <c r="M183">
        <f t="shared" si="2"/>
        <v>0.06</v>
      </c>
    </row>
    <row r="184" spans="1:13" x14ac:dyDescent="0.4">
      <c r="A184" s="1" t="s">
        <v>163</v>
      </c>
      <c r="B184" s="1" t="s">
        <v>167</v>
      </c>
      <c r="C184" s="1" t="s">
        <v>68</v>
      </c>
      <c r="D184" s="1" t="s">
        <v>16</v>
      </c>
      <c r="E184" s="1">
        <v>5</v>
      </c>
      <c r="F184" s="1">
        <v>150</v>
      </c>
      <c r="G184" s="1">
        <v>-5.68</v>
      </c>
      <c r="H184" s="1">
        <v>0</v>
      </c>
      <c r="I184" s="1">
        <v>8.66</v>
      </c>
      <c r="J184" s="1">
        <v>11.43</v>
      </c>
      <c r="K184" s="1">
        <v>164.41</v>
      </c>
      <c r="M184" s="7">
        <f t="shared" si="2"/>
        <v>6.0005543237250561E-2</v>
      </c>
    </row>
    <row r="185" spans="1:13" x14ac:dyDescent="0.4">
      <c r="A185" s="1" t="s">
        <v>163</v>
      </c>
      <c r="B185" s="1" t="s">
        <v>167</v>
      </c>
      <c r="C185" s="1" t="s">
        <v>88</v>
      </c>
      <c r="D185" s="1" t="s">
        <v>16</v>
      </c>
      <c r="E185" s="1">
        <v>3</v>
      </c>
      <c r="F185" s="1">
        <v>144</v>
      </c>
      <c r="G185" s="1">
        <v>0</v>
      </c>
      <c r="H185" s="1">
        <v>0</v>
      </c>
      <c r="I185" s="1">
        <v>8.64</v>
      </c>
      <c r="J185" s="1">
        <v>14.4</v>
      </c>
      <c r="K185" s="1">
        <v>167.04</v>
      </c>
      <c r="M185">
        <f t="shared" si="2"/>
        <v>6.0000000000000005E-2</v>
      </c>
    </row>
    <row r="186" spans="1:13" x14ac:dyDescent="0.4">
      <c r="A186" s="1" t="s">
        <v>163</v>
      </c>
      <c r="B186" s="1" t="s">
        <v>168</v>
      </c>
      <c r="C186" s="1" t="s">
        <v>88</v>
      </c>
      <c r="D186" s="1" t="s">
        <v>16</v>
      </c>
      <c r="E186" s="1">
        <v>1</v>
      </c>
      <c r="F186" s="1">
        <v>48</v>
      </c>
      <c r="G186" s="1">
        <v>0</v>
      </c>
      <c r="H186" s="1">
        <v>0</v>
      </c>
      <c r="I186" s="1">
        <v>2.88</v>
      </c>
      <c r="J186" s="1">
        <v>4.8</v>
      </c>
      <c r="K186" s="1">
        <v>55.68</v>
      </c>
      <c r="M186">
        <f t="shared" si="2"/>
        <v>0.06</v>
      </c>
    </row>
    <row r="187" spans="1:13" x14ac:dyDescent="0.4">
      <c r="A187" s="1" t="s">
        <v>163</v>
      </c>
      <c r="B187" s="1" t="s">
        <v>169</v>
      </c>
      <c r="C187" s="1" t="s">
        <v>68</v>
      </c>
      <c r="D187" s="1" t="s">
        <v>16</v>
      </c>
      <c r="E187" s="1">
        <v>1</v>
      </c>
      <c r="F187" s="1">
        <v>30</v>
      </c>
      <c r="G187" s="1">
        <v>0</v>
      </c>
      <c r="H187" s="1">
        <v>0</v>
      </c>
      <c r="I187" s="1">
        <v>1.8</v>
      </c>
      <c r="J187" s="1">
        <v>3</v>
      </c>
      <c r="K187" s="1">
        <v>34.799999999999997</v>
      </c>
      <c r="M187">
        <f t="shared" si="2"/>
        <v>6.0000000000000005E-2</v>
      </c>
    </row>
    <row r="188" spans="1:13" x14ac:dyDescent="0.4">
      <c r="A188" s="1" t="s">
        <v>163</v>
      </c>
      <c r="B188" s="1" t="s">
        <v>170</v>
      </c>
      <c r="C188" s="1" t="s">
        <v>91</v>
      </c>
      <c r="D188" s="1" t="s">
        <v>16</v>
      </c>
      <c r="E188" s="1">
        <v>1</v>
      </c>
      <c r="F188" s="1">
        <v>38</v>
      </c>
      <c r="G188" s="1">
        <v>0</v>
      </c>
      <c r="H188" s="1">
        <v>0</v>
      </c>
      <c r="I188" s="1">
        <v>2.2799999999999998</v>
      </c>
      <c r="J188" s="1">
        <v>3.8</v>
      </c>
      <c r="K188" s="1">
        <v>44.08</v>
      </c>
      <c r="M188">
        <f t="shared" si="2"/>
        <v>0.06</v>
      </c>
    </row>
    <row r="189" spans="1:13" x14ac:dyDescent="0.4">
      <c r="A189" s="1" t="s">
        <v>163</v>
      </c>
      <c r="B189" s="1" t="s">
        <v>171</v>
      </c>
      <c r="C189" s="1" t="s">
        <v>68</v>
      </c>
      <c r="D189" s="1" t="s">
        <v>16</v>
      </c>
      <c r="E189" s="1">
        <v>4</v>
      </c>
      <c r="F189" s="1">
        <v>120</v>
      </c>
      <c r="G189" s="1">
        <v>0</v>
      </c>
      <c r="H189" s="1">
        <v>0</v>
      </c>
      <c r="I189" s="1">
        <v>7.2</v>
      </c>
      <c r="J189" s="1">
        <v>12</v>
      </c>
      <c r="K189" s="1">
        <v>139.19999999999999</v>
      </c>
      <c r="M189">
        <f t="shared" si="2"/>
        <v>6.0000000000000005E-2</v>
      </c>
    </row>
    <row r="190" spans="1:13" x14ac:dyDescent="0.4">
      <c r="A190" s="1" t="s">
        <v>163</v>
      </c>
      <c r="B190" s="1" t="s">
        <v>171</v>
      </c>
      <c r="C190" s="1" t="s">
        <v>91</v>
      </c>
      <c r="D190" s="1" t="s">
        <v>16</v>
      </c>
      <c r="E190" s="1">
        <v>3</v>
      </c>
      <c r="F190" s="1">
        <v>114</v>
      </c>
      <c r="G190" s="1">
        <v>-3.89</v>
      </c>
      <c r="H190" s="1">
        <v>0</v>
      </c>
      <c r="I190" s="1">
        <v>6.61</v>
      </c>
      <c r="J190" s="1">
        <v>7.21</v>
      </c>
      <c r="K190" s="1">
        <v>123.93</v>
      </c>
      <c r="M190" s="7">
        <f t="shared" si="2"/>
        <v>6.0030878212696398E-2</v>
      </c>
    </row>
    <row r="191" spans="1:13" x14ac:dyDescent="0.4">
      <c r="A191" s="1" t="s">
        <v>163</v>
      </c>
      <c r="B191" s="1" t="s">
        <v>172</v>
      </c>
      <c r="C191" s="1" t="s">
        <v>68</v>
      </c>
      <c r="D191" s="1" t="s">
        <v>16</v>
      </c>
      <c r="E191" s="1">
        <v>2</v>
      </c>
      <c r="F191" s="1">
        <v>60</v>
      </c>
      <c r="G191" s="1">
        <v>0</v>
      </c>
      <c r="H191" s="1">
        <v>0</v>
      </c>
      <c r="I191" s="1">
        <v>3.6</v>
      </c>
      <c r="J191" s="1">
        <v>6</v>
      </c>
      <c r="K191" s="1">
        <v>69.599999999999994</v>
      </c>
      <c r="M191">
        <f t="shared" si="2"/>
        <v>6.0000000000000005E-2</v>
      </c>
    </row>
    <row r="192" spans="1:13" x14ac:dyDescent="0.4">
      <c r="A192" s="1" t="s">
        <v>163</v>
      </c>
      <c r="B192" s="1" t="s">
        <v>173</v>
      </c>
      <c r="C192" s="1" t="s">
        <v>68</v>
      </c>
      <c r="D192" s="1" t="s">
        <v>16</v>
      </c>
      <c r="E192" s="1">
        <v>2</v>
      </c>
      <c r="F192" s="1">
        <v>60</v>
      </c>
      <c r="G192" s="1">
        <v>0</v>
      </c>
      <c r="H192" s="1">
        <v>0</v>
      </c>
      <c r="I192" s="1">
        <v>3.6</v>
      </c>
      <c r="J192" s="1">
        <v>6</v>
      </c>
      <c r="K192" s="1">
        <v>69.599999999999994</v>
      </c>
      <c r="M192">
        <f t="shared" si="2"/>
        <v>6.0000000000000005E-2</v>
      </c>
    </row>
    <row r="193" spans="1:13" x14ac:dyDescent="0.4">
      <c r="A193" s="1" t="s">
        <v>163</v>
      </c>
      <c r="B193" s="1" t="s">
        <v>174</v>
      </c>
      <c r="C193" s="1" t="s">
        <v>68</v>
      </c>
      <c r="D193" s="1" t="s">
        <v>16</v>
      </c>
      <c r="E193" s="1">
        <v>11</v>
      </c>
      <c r="F193" s="1">
        <v>330</v>
      </c>
      <c r="G193" s="1">
        <v>0</v>
      </c>
      <c r="H193" s="1">
        <v>0</v>
      </c>
      <c r="I193" s="1">
        <v>19.8</v>
      </c>
      <c r="J193" s="1">
        <v>27</v>
      </c>
      <c r="K193" s="1">
        <v>376.8</v>
      </c>
      <c r="M193">
        <f t="shared" si="2"/>
        <v>6.0000000000000005E-2</v>
      </c>
    </row>
    <row r="194" spans="1:13" x14ac:dyDescent="0.4">
      <c r="A194" s="1" t="s">
        <v>163</v>
      </c>
      <c r="B194" s="1" t="s">
        <v>174</v>
      </c>
      <c r="C194" s="1" t="s">
        <v>88</v>
      </c>
      <c r="D194" s="1" t="s">
        <v>16</v>
      </c>
      <c r="E194" s="1">
        <v>1</v>
      </c>
      <c r="F194" s="1">
        <v>48</v>
      </c>
      <c r="G194" s="1">
        <v>0</v>
      </c>
      <c r="H194" s="1">
        <v>0</v>
      </c>
      <c r="I194" s="1">
        <v>2.88</v>
      </c>
      <c r="J194" s="1">
        <v>4.8</v>
      </c>
      <c r="K194" s="1">
        <v>55.68</v>
      </c>
      <c r="M194">
        <f t="shared" si="2"/>
        <v>0.06</v>
      </c>
    </row>
    <row r="195" spans="1:13" x14ac:dyDescent="0.4">
      <c r="A195" s="1" t="s">
        <v>163</v>
      </c>
      <c r="B195" s="1" t="s">
        <v>174</v>
      </c>
      <c r="C195" s="1" t="s">
        <v>91</v>
      </c>
      <c r="D195" s="1" t="s">
        <v>16</v>
      </c>
      <c r="E195" s="1">
        <v>3</v>
      </c>
      <c r="F195" s="1">
        <v>114</v>
      </c>
      <c r="G195" s="1">
        <v>-3.92</v>
      </c>
      <c r="H195" s="1">
        <v>0</v>
      </c>
      <c r="I195" s="1">
        <v>6.6</v>
      </c>
      <c r="J195" s="1">
        <v>11.01</v>
      </c>
      <c r="K195" s="1">
        <v>127.69</v>
      </c>
      <c r="M195" s="7">
        <f t="shared" si="2"/>
        <v>5.9956395348837205E-2</v>
      </c>
    </row>
    <row r="196" spans="1:13" x14ac:dyDescent="0.4">
      <c r="A196" s="3" t="s">
        <v>175</v>
      </c>
      <c r="B196" s="3" t="s">
        <v>16</v>
      </c>
      <c r="C196" s="3" t="s">
        <v>16</v>
      </c>
      <c r="D196" s="3" t="s">
        <v>16</v>
      </c>
      <c r="E196" s="3">
        <v>146</v>
      </c>
      <c r="F196" s="3">
        <v>1216</v>
      </c>
      <c r="G196" s="3">
        <v>-12.14</v>
      </c>
      <c r="H196" s="3">
        <v>0</v>
      </c>
      <c r="I196" s="3">
        <v>72.23</v>
      </c>
      <c r="J196" s="3">
        <v>120.39</v>
      </c>
      <c r="K196" s="3">
        <v>1396.48</v>
      </c>
      <c r="M196" s="7">
        <f t="shared" si="2"/>
        <v>5.9998670941803875E-2</v>
      </c>
    </row>
    <row r="197" spans="1:13" x14ac:dyDescent="0.4">
      <c r="A197" s="1" t="s">
        <v>175</v>
      </c>
      <c r="B197" s="1" t="s">
        <v>176</v>
      </c>
      <c r="C197" s="1" t="s">
        <v>177</v>
      </c>
      <c r="D197" s="1" t="s">
        <v>16</v>
      </c>
      <c r="E197" s="1">
        <v>18</v>
      </c>
      <c r="F197" s="1">
        <v>108</v>
      </c>
      <c r="G197" s="1">
        <v>0</v>
      </c>
      <c r="H197" s="1">
        <v>0</v>
      </c>
      <c r="I197" s="1">
        <v>6.48</v>
      </c>
      <c r="J197" s="1">
        <v>10.8</v>
      </c>
      <c r="K197" s="1">
        <v>125.28</v>
      </c>
      <c r="M197">
        <f t="shared" si="2"/>
        <v>6.0000000000000005E-2</v>
      </c>
    </row>
    <row r="198" spans="1:13" x14ac:dyDescent="0.4">
      <c r="A198" s="1" t="s">
        <v>175</v>
      </c>
      <c r="B198" s="1" t="s">
        <v>176</v>
      </c>
      <c r="C198" s="1" t="s">
        <v>178</v>
      </c>
      <c r="D198" s="1" t="s">
        <v>16</v>
      </c>
      <c r="E198" s="1">
        <v>9</v>
      </c>
      <c r="F198" s="1">
        <v>72</v>
      </c>
      <c r="G198" s="1">
        <v>-0.81</v>
      </c>
      <c r="H198" s="1">
        <v>0</v>
      </c>
      <c r="I198" s="1">
        <v>4.2699999999999996</v>
      </c>
      <c r="J198" s="1">
        <v>7.12</v>
      </c>
      <c r="K198" s="1">
        <v>82.58</v>
      </c>
      <c r="M198" s="7">
        <f t="shared" si="2"/>
        <v>5.9980334316617499E-2</v>
      </c>
    </row>
    <row r="199" spans="1:13" x14ac:dyDescent="0.4">
      <c r="A199" s="1" t="s">
        <v>175</v>
      </c>
      <c r="B199" s="1" t="s">
        <v>176</v>
      </c>
      <c r="C199" s="1" t="s">
        <v>179</v>
      </c>
      <c r="D199" s="1" t="s">
        <v>16</v>
      </c>
      <c r="E199" s="1">
        <v>5</v>
      </c>
      <c r="F199" s="1">
        <v>60</v>
      </c>
      <c r="G199" s="1">
        <v>0</v>
      </c>
      <c r="H199" s="1">
        <v>0</v>
      </c>
      <c r="I199" s="1">
        <v>3.6</v>
      </c>
      <c r="J199" s="1">
        <v>6</v>
      </c>
      <c r="K199" s="1">
        <v>69.599999999999994</v>
      </c>
      <c r="M199">
        <f t="shared" si="2"/>
        <v>6.0000000000000005E-2</v>
      </c>
    </row>
    <row r="200" spans="1:13" x14ac:dyDescent="0.4">
      <c r="A200" s="1" t="s">
        <v>175</v>
      </c>
      <c r="B200" s="1" t="s">
        <v>176</v>
      </c>
      <c r="C200" s="1" t="s">
        <v>180</v>
      </c>
      <c r="D200" s="1" t="s">
        <v>16</v>
      </c>
      <c r="E200" s="1">
        <v>1</v>
      </c>
      <c r="F200" s="1">
        <v>15</v>
      </c>
      <c r="G200" s="1">
        <v>0</v>
      </c>
      <c r="H200" s="1">
        <v>0</v>
      </c>
      <c r="I200" s="1">
        <v>0.9</v>
      </c>
      <c r="J200" s="1">
        <v>1.5</v>
      </c>
      <c r="K200" s="1">
        <v>17.399999999999999</v>
      </c>
      <c r="M200">
        <f t="shared" ref="M200:M263" si="3">I200/(F200+G200)</f>
        <v>6.0000000000000005E-2</v>
      </c>
    </row>
    <row r="201" spans="1:13" x14ac:dyDescent="0.4">
      <c r="A201" s="1" t="s">
        <v>175</v>
      </c>
      <c r="B201" s="1" t="s">
        <v>181</v>
      </c>
      <c r="C201" s="1" t="s">
        <v>182</v>
      </c>
      <c r="D201" s="1" t="s">
        <v>16</v>
      </c>
      <c r="E201" s="1">
        <v>2</v>
      </c>
      <c r="F201" s="1">
        <v>6</v>
      </c>
      <c r="G201" s="1">
        <v>0</v>
      </c>
      <c r="H201" s="1">
        <v>0</v>
      </c>
      <c r="I201" s="1">
        <v>0.36</v>
      </c>
      <c r="J201" s="1">
        <v>0.6</v>
      </c>
      <c r="K201" s="1">
        <v>6.96</v>
      </c>
      <c r="M201">
        <f t="shared" si="3"/>
        <v>0.06</v>
      </c>
    </row>
    <row r="202" spans="1:13" x14ac:dyDescent="0.4">
      <c r="A202" s="1" t="s">
        <v>175</v>
      </c>
      <c r="B202" s="1" t="s">
        <v>183</v>
      </c>
      <c r="C202" s="1" t="s">
        <v>177</v>
      </c>
      <c r="D202" s="1" t="s">
        <v>16</v>
      </c>
      <c r="E202" s="1">
        <v>5</v>
      </c>
      <c r="F202" s="1">
        <v>40</v>
      </c>
      <c r="G202" s="1">
        <v>0</v>
      </c>
      <c r="H202" s="1">
        <v>0</v>
      </c>
      <c r="I202" s="1">
        <v>2.4</v>
      </c>
      <c r="J202" s="1">
        <v>4</v>
      </c>
      <c r="K202" s="1">
        <v>46.4</v>
      </c>
      <c r="M202">
        <f t="shared" si="3"/>
        <v>0.06</v>
      </c>
    </row>
    <row r="203" spans="1:13" x14ac:dyDescent="0.4">
      <c r="A203" s="1" t="s">
        <v>175</v>
      </c>
      <c r="B203" s="1" t="s">
        <v>183</v>
      </c>
      <c r="C203" s="1" t="s">
        <v>178</v>
      </c>
      <c r="D203" s="1" t="s">
        <v>16</v>
      </c>
      <c r="E203" s="1">
        <v>2</v>
      </c>
      <c r="F203" s="1">
        <v>24</v>
      </c>
      <c r="G203" s="1">
        <v>0</v>
      </c>
      <c r="H203" s="1">
        <v>0</v>
      </c>
      <c r="I203" s="1">
        <v>1.44</v>
      </c>
      <c r="J203" s="1">
        <v>2.4</v>
      </c>
      <c r="K203" s="1">
        <v>27.84</v>
      </c>
      <c r="M203">
        <f t="shared" si="3"/>
        <v>0.06</v>
      </c>
    </row>
    <row r="204" spans="1:13" x14ac:dyDescent="0.4">
      <c r="A204" s="1" t="s">
        <v>175</v>
      </c>
      <c r="B204" s="1" t="s">
        <v>184</v>
      </c>
      <c r="C204" s="1" t="s">
        <v>179</v>
      </c>
      <c r="D204" s="1" t="s">
        <v>16</v>
      </c>
      <c r="E204" s="1">
        <v>2</v>
      </c>
      <c r="F204" s="1">
        <v>24</v>
      </c>
      <c r="G204" s="1">
        <v>0</v>
      </c>
      <c r="H204" s="1">
        <v>0</v>
      </c>
      <c r="I204" s="1">
        <v>1.44</v>
      </c>
      <c r="J204" s="1">
        <v>2.4</v>
      </c>
      <c r="K204" s="1">
        <v>27.84</v>
      </c>
      <c r="M204">
        <f t="shared" si="3"/>
        <v>0.06</v>
      </c>
    </row>
    <row r="205" spans="1:13" x14ac:dyDescent="0.4">
      <c r="A205" s="1" t="s">
        <v>175</v>
      </c>
      <c r="B205" s="1" t="s">
        <v>184</v>
      </c>
      <c r="C205" s="1" t="s">
        <v>180</v>
      </c>
      <c r="D205" s="1" t="s">
        <v>16</v>
      </c>
      <c r="E205" s="1">
        <v>2</v>
      </c>
      <c r="F205" s="1">
        <v>30</v>
      </c>
      <c r="G205" s="1">
        <v>0</v>
      </c>
      <c r="H205" s="1">
        <v>0</v>
      </c>
      <c r="I205" s="1">
        <v>1.8</v>
      </c>
      <c r="J205" s="1">
        <v>3</v>
      </c>
      <c r="K205" s="1">
        <v>34.799999999999997</v>
      </c>
      <c r="M205">
        <f t="shared" si="3"/>
        <v>6.0000000000000005E-2</v>
      </c>
    </row>
    <row r="206" spans="1:13" x14ac:dyDescent="0.4">
      <c r="A206" s="1" t="s">
        <v>175</v>
      </c>
      <c r="B206" s="1" t="s">
        <v>184</v>
      </c>
      <c r="C206" s="1" t="s">
        <v>177</v>
      </c>
      <c r="D206" s="1" t="s">
        <v>16</v>
      </c>
      <c r="E206" s="1">
        <v>12</v>
      </c>
      <c r="F206" s="1">
        <v>72</v>
      </c>
      <c r="G206" s="1">
        <v>0</v>
      </c>
      <c r="H206" s="1">
        <v>0</v>
      </c>
      <c r="I206" s="1">
        <v>4.32</v>
      </c>
      <c r="J206" s="1">
        <v>7.2</v>
      </c>
      <c r="K206" s="1">
        <v>83.52</v>
      </c>
      <c r="M206">
        <f t="shared" si="3"/>
        <v>6.0000000000000005E-2</v>
      </c>
    </row>
    <row r="207" spans="1:13" x14ac:dyDescent="0.4">
      <c r="A207" s="1" t="s">
        <v>175</v>
      </c>
      <c r="B207" s="1" t="s">
        <v>184</v>
      </c>
      <c r="C207" s="1" t="s">
        <v>178</v>
      </c>
      <c r="D207" s="1" t="s">
        <v>16</v>
      </c>
      <c r="E207" s="1">
        <v>14</v>
      </c>
      <c r="F207" s="1">
        <v>112</v>
      </c>
      <c r="G207" s="1">
        <v>-1.28</v>
      </c>
      <c r="H207" s="1">
        <v>0</v>
      </c>
      <c r="I207" s="1">
        <v>6.64</v>
      </c>
      <c r="J207" s="1">
        <v>11.07</v>
      </c>
      <c r="K207" s="1">
        <v>128.44</v>
      </c>
      <c r="M207" s="7">
        <f t="shared" si="3"/>
        <v>5.9971098265895952E-2</v>
      </c>
    </row>
    <row r="208" spans="1:13" x14ac:dyDescent="0.4">
      <c r="A208" s="1" t="s">
        <v>175</v>
      </c>
      <c r="B208" s="1" t="s">
        <v>185</v>
      </c>
      <c r="C208" s="1" t="s">
        <v>177</v>
      </c>
      <c r="D208" s="1" t="s">
        <v>16</v>
      </c>
      <c r="E208" s="1">
        <v>13</v>
      </c>
      <c r="F208" s="1">
        <v>78</v>
      </c>
      <c r="G208" s="1">
        <v>0</v>
      </c>
      <c r="H208" s="1">
        <v>0</v>
      </c>
      <c r="I208" s="1">
        <v>4.68</v>
      </c>
      <c r="J208" s="1">
        <v>7.8</v>
      </c>
      <c r="K208" s="1">
        <v>90.48</v>
      </c>
      <c r="M208">
        <f t="shared" si="3"/>
        <v>0.06</v>
      </c>
    </row>
    <row r="209" spans="1:13" x14ac:dyDescent="0.4">
      <c r="A209" s="1" t="s">
        <v>175</v>
      </c>
      <c r="B209" s="1" t="s">
        <v>185</v>
      </c>
      <c r="C209" s="1" t="s">
        <v>178</v>
      </c>
      <c r="D209" s="1" t="s">
        <v>16</v>
      </c>
      <c r="E209" s="1">
        <v>13</v>
      </c>
      <c r="F209" s="1">
        <v>104</v>
      </c>
      <c r="G209" s="1">
        <v>0</v>
      </c>
      <c r="H209" s="1">
        <v>0</v>
      </c>
      <c r="I209" s="1">
        <v>6.24</v>
      </c>
      <c r="J209" s="1">
        <v>10.4</v>
      </c>
      <c r="K209" s="1">
        <v>120.64</v>
      </c>
      <c r="M209">
        <f t="shared" si="3"/>
        <v>6.0000000000000005E-2</v>
      </c>
    </row>
    <row r="210" spans="1:13" x14ac:dyDescent="0.4">
      <c r="A210" s="1" t="s">
        <v>175</v>
      </c>
      <c r="B210" s="1" t="s">
        <v>185</v>
      </c>
      <c r="C210" s="1" t="s">
        <v>179</v>
      </c>
      <c r="D210" s="1" t="s">
        <v>16</v>
      </c>
      <c r="E210" s="1">
        <v>2</v>
      </c>
      <c r="F210" s="1">
        <v>24</v>
      </c>
      <c r="G210" s="1">
        <v>-1.25</v>
      </c>
      <c r="H210" s="1">
        <v>0</v>
      </c>
      <c r="I210" s="1">
        <v>1.37</v>
      </c>
      <c r="J210" s="1">
        <v>2.2799999999999998</v>
      </c>
      <c r="K210" s="1">
        <v>26.39</v>
      </c>
      <c r="M210" s="7">
        <f t="shared" si="3"/>
        <v>6.0219780219780222E-2</v>
      </c>
    </row>
    <row r="211" spans="1:13" x14ac:dyDescent="0.4">
      <c r="A211" s="1" t="s">
        <v>175</v>
      </c>
      <c r="B211" s="1" t="s">
        <v>185</v>
      </c>
      <c r="C211" s="1" t="s">
        <v>180</v>
      </c>
      <c r="D211" s="1" t="s">
        <v>16</v>
      </c>
      <c r="E211" s="1">
        <v>8</v>
      </c>
      <c r="F211" s="1">
        <v>120</v>
      </c>
      <c r="G211" s="1">
        <v>-1.54</v>
      </c>
      <c r="H211" s="1">
        <v>0</v>
      </c>
      <c r="I211" s="1">
        <v>7.11</v>
      </c>
      <c r="J211" s="1">
        <v>11.85</v>
      </c>
      <c r="K211" s="1">
        <v>137.41</v>
      </c>
      <c r="M211" s="7">
        <f t="shared" si="3"/>
        <v>6.0020260003376673E-2</v>
      </c>
    </row>
    <row r="212" spans="1:13" x14ac:dyDescent="0.4">
      <c r="A212" s="1" t="s">
        <v>175</v>
      </c>
      <c r="B212" s="1" t="s">
        <v>186</v>
      </c>
      <c r="C212" s="1" t="s">
        <v>177</v>
      </c>
      <c r="D212" s="1" t="s">
        <v>16</v>
      </c>
      <c r="E212" s="1">
        <v>5</v>
      </c>
      <c r="F212" s="1">
        <v>30</v>
      </c>
      <c r="G212" s="1">
        <v>0</v>
      </c>
      <c r="H212" s="1">
        <v>0</v>
      </c>
      <c r="I212" s="1">
        <v>1.8</v>
      </c>
      <c r="J212" s="1">
        <v>3</v>
      </c>
      <c r="K212" s="1">
        <v>34.799999999999997</v>
      </c>
      <c r="M212">
        <f t="shared" si="3"/>
        <v>6.0000000000000005E-2</v>
      </c>
    </row>
    <row r="213" spans="1:13" x14ac:dyDescent="0.4">
      <c r="A213" s="1" t="s">
        <v>175</v>
      </c>
      <c r="B213" s="1" t="s">
        <v>186</v>
      </c>
      <c r="C213" s="1" t="s">
        <v>178</v>
      </c>
      <c r="D213" s="1" t="s">
        <v>16</v>
      </c>
      <c r="E213" s="1">
        <v>5</v>
      </c>
      <c r="F213" s="1">
        <v>40</v>
      </c>
      <c r="G213" s="1">
        <v>0</v>
      </c>
      <c r="H213" s="1">
        <v>0</v>
      </c>
      <c r="I213" s="1">
        <v>2.4</v>
      </c>
      <c r="J213" s="1">
        <v>4</v>
      </c>
      <c r="K213" s="1">
        <v>46.4</v>
      </c>
      <c r="M213">
        <f t="shared" si="3"/>
        <v>0.06</v>
      </c>
    </row>
    <row r="214" spans="1:13" x14ac:dyDescent="0.4">
      <c r="A214" s="1" t="s">
        <v>175</v>
      </c>
      <c r="B214" s="1" t="s">
        <v>186</v>
      </c>
      <c r="C214" s="1" t="s">
        <v>179</v>
      </c>
      <c r="D214" s="1" t="s">
        <v>16</v>
      </c>
      <c r="E214" s="1">
        <v>2</v>
      </c>
      <c r="F214" s="1">
        <v>24</v>
      </c>
      <c r="G214" s="1">
        <v>0</v>
      </c>
      <c r="H214" s="1">
        <v>0</v>
      </c>
      <c r="I214" s="1">
        <v>1.44</v>
      </c>
      <c r="J214" s="1">
        <v>2.4</v>
      </c>
      <c r="K214" s="1">
        <v>27.84</v>
      </c>
      <c r="M214">
        <f t="shared" si="3"/>
        <v>0.06</v>
      </c>
    </row>
    <row r="215" spans="1:13" x14ac:dyDescent="0.4">
      <c r="A215" s="1" t="s">
        <v>175</v>
      </c>
      <c r="B215" s="1" t="s">
        <v>186</v>
      </c>
      <c r="C215" s="1" t="s">
        <v>180</v>
      </c>
      <c r="D215" s="1" t="s">
        <v>16</v>
      </c>
      <c r="E215" s="1">
        <v>3</v>
      </c>
      <c r="F215" s="1">
        <v>45</v>
      </c>
      <c r="G215" s="1">
        <v>-3.06</v>
      </c>
      <c r="H215" s="1">
        <v>0</v>
      </c>
      <c r="I215" s="1">
        <v>2.52</v>
      </c>
      <c r="J215" s="1">
        <v>4.1900000000000004</v>
      </c>
      <c r="K215" s="1">
        <v>48.65</v>
      </c>
      <c r="M215" s="7">
        <f t="shared" si="3"/>
        <v>6.0085836909871251E-2</v>
      </c>
    </row>
    <row r="216" spans="1:13" x14ac:dyDescent="0.4">
      <c r="A216" s="1" t="s">
        <v>175</v>
      </c>
      <c r="B216" s="1" t="s">
        <v>187</v>
      </c>
      <c r="C216" s="1" t="s">
        <v>177</v>
      </c>
      <c r="D216" s="1" t="s">
        <v>16</v>
      </c>
      <c r="E216" s="1">
        <v>9</v>
      </c>
      <c r="F216" s="1">
        <v>54</v>
      </c>
      <c r="G216" s="1">
        <v>-1.43</v>
      </c>
      <c r="H216" s="1">
        <v>0</v>
      </c>
      <c r="I216" s="1">
        <v>3.15</v>
      </c>
      <c r="J216" s="1">
        <v>5.26</v>
      </c>
      <c r="K216" s="1">
        <v>60.98</v>
      </c>
      <c r="M216" s="7">
        <f t="shared" si="3"/>
        <v>5.9920106524633816E-2</v>
      </c>
    </row>
    <row r="217" spans="1:13" x14ac:dyDescent="0.4">
      <c r="A217" s="1" t="s">
        <v>175</v>
      </c>
      <c r="B217" s="1" t="s">
        <v>187</v>
      </c>
      <c r="C217" s="1" t="s">
        <v>180</v>
      </c>
      <c r="D217" s="1" t="s">
        <v>16</v>
      </c>
      <c r="E217" s="1">
        <v>2</v>
      </c>
      <c r="F217" s="1">
        <v>30</v>
      </c>
      <c r="G217" s="1">
        <v>0</v>
      </c>
      <c r="H217" s="1">
        <v>0</v>
      </c>
      <c r="I217" s="1">
        <v>1.8</v>
      </c>
      <c r="J217" s="1">
        <v>3</v>
      </c>
      <c r="K217" s="1">
        <v>34.799999999999997</v>
      </c>
      <c r="M217">
        <f t="shared" si="3"/>
        <v>6.0000000000000005E-2</v>
      </c>
    </row>
    <row r="218" spans="1:13" x14ac:dyDescent="0.4">
      <c r="A218" s="1" t="s">
        <v>175</v>
      </c>
      <c r="B218" s="1" t="s">
        <v>187</v>
      </c>
      <c r="C218" s="1" t="s">
        <v>178</v>
      </c>
      <c r="D218" s="1" t="s">
        <v>16</v>
      </c>
      <c r="E218" s="1">
        <v>10</v>
      </c>
      <c r="F218" s="1">
        <v>80</v>
      </c>
      <c r="G218" s="1">
        <v>-1.52</v>
      </c>
      <c r="H218" s="1">
        <v>0</v>
      </c>
      <c r="I218" s="1">
        <v>4.71</v>
      </c>
      <c r="J218" s="1">
        <v>7.85</v>
      </c>
      <c r="K218" s="1">
        <v>91.04</v>
      </c>
      <c r="M218" s="7">
        <f t="shared" si="3"/>
        <v>6.0015290519877675E-2</v>
      </c>
    </row>
    <row r="219" spans="1:13" x14ac:dyDescent="0.4">
      <c r="A219" s="1" t="s">
        <v>175</v>
      </c>
      <c r="B219" s="1" t="s">
        <v>187</v>
      </c>
      <c r="C219" s="1" t="s">
        <v>179</v>
      </c>
      <c r="D219" s="1" t="s">
        <v>16</v>
      </c>
      <c r="E219" s="1">
        <v>2</v>
      </c>
      <c r="F219" s="1">
        <v>24</v>
      </c>
      <c r="G219" s="1">
        <v>-1.25</v>
      </c>
      <c r="H219" s="1">
        <v>0</v>
      </c>
      <c r="I219" s="1">
        <v>1.37</v>
      </c>
      <c r="J219" s="1">
        <v>2.2799999999999998</v>
      </c>
      <c r="K219" s="1">
        <v>26.39</v>
      </c>
      <c r="M219" s="7">
        <f t="shared" si="3"/>
        <v>6.0219780219780222E-2</v>
      </c>
    </row>
    <row r="220" spans="1:13" x14ac:dyDescent="0.4">
      <c r="A220" s="3" t="s">
        <v>188</v>
      </c>
      <c r="B220" s="3" t="s">
        <v>16</v>
      </c>
      <c r="C220" s="3" t="s">
        <v>16</v>
      </c>
      <c r="D220" s="3" t="s">
        <v>16</v>
      </c>
      <c r="E220" s="3">
        <v>289</v>
      </c>
      <c r="F220" s="3">
        <v>7112</v>
      </c>
      <c r="G220" s="3">
        <v>-61.03</v>
      </c>
      <c r="H220" s="3">
        <v>0</v>
      </c>
      <c r="I220" s="3">
        <v>423.06</v>
      </c>
      <c r="J220" s="3">
        <v>673</v>
      </c>
      <c r="K220" s="3">
        <v>8147.03</v>
      </c>
      <c r="M220">
        <f t="shared" si="3"/>
        <v>6.0000255284024751E-2</v>
      </c>
    </row>
    <row r="221" spans="1:13" x14ac:dyDescent="0.4">
      <c r="A221" s="1" t="s">
        <v>188</v>
      </c>
      <c r="B221" s="1" t="s">
        <v>189</v>
      </c>
      <c r="C221" s="1" t="s">
        <v>91</v>
      </c>
      <c r="D221" s="1" t="s">
        <v>16</v>
      </c>
      <c r="E221" s="1">
        <v>1</v>
      </c>
      <c r="F221" s="1">
        <v>28</v>
      </c>
      <c r="G221" s="1">
        <v>0</v>
      </c>
      <c r="H221" s="1">
        <v>0</v>
      </c>
      <c r="I221" s="1">
        <v>1.68</v>
      </c>
      <c r="J221" s="1">
        <v>2.8</v>
      </c>
      <c r="K221" s="1">
        <v>32.479999999999997</v>
      </c>
      <c r="M221">
        <f t="shared" si="3"/>
        <v>0.06</v>
      </c>
    </row>
    <row r="222" spans="1:13" x14ac:dyDescent="0.4">
      <c r="A222" s="1" t="s">
        <v>188</v>
      </c>
      <c r="B222" s="1" t="s">
        <v>189</v>
      </c>
      <c r="C222" s="1" t="s">
        <v>68</v>
      </c>
      <c r="D222" s="1" t="s">
        <v>16</v>
      </c>
      <c r="E222" s="1">
        <v>2</v>
      </c>
      <c r="F222" s="1">
        <v>36</v>
      </c>
      <c r="G222" s="1">
        <v>0</v>
      </c>
      <c r="H222" s="1">
        <v>0</v>
      </c>
      <c r="I222" s="1">
        <v>2.16</v>
      </c>
      <c r="J222" s="1">
        <v>3.6</v>
      </c>
      <c r="K222" s="1">
        <v>41.76</v>
      </c>
      <c r="M222">
        <f t="shared" si="3"/>
        <v>6.0000000000000005E-2</v>
      </c>
    </row>
    <row r="223" spans="1:13" x14ac:dyDescent="0.4">
      <c r="A223" s="1" t="s">
        <v>188</v>
      </c>
      <c r="B223" s="1" t="s">
        <v>190</v>
      </c>
      <c r="C223" s="1" t="s">
        <v>68</v>
      </c>
      <c r="D223" s="1" t="s">
        <v>16</v>
      </c>
      <c r="E223" s="1">
        <v>3</v>
      </c>
      <c r="F223" s="1">
        <v>45</v>
      </c>
      <c r="G223" s="1">
        <v>0</v>
      </c>
      <c r="H223" s="1">
        <v>0</v>
      </c>
      <c r="I223" s="1">
        <v>2.7</v>
      </c>
      <c r="J223" s="1">
        <v>4.5</v>
      </c>
      <c r="K223" s="1">
        <v>52.2</v>
      </c>
      <c r="M223">
        <f t="shared" si="3"/>
        <v>6.0000000000000005E-2</v>
      </c>
    </row>
    <row r="224" spans="1:13" x14ac:dyDescent="0.4">
      <c r="A224" s="1" t="s">
        <v>188</v>
      </c>
      <c r="B224" s="1" t="s">
        <v>191</v>
      </c>
      <c r="C224" s="1" t="s">
        <v>91</v>
      </c>
      <c r="D224" s="1" t="s">
        <v>16</v>
      </c>
      <c r="E224" s="1">
        <v>2</v>
      </c>
      <c r="F224" s="1">
        <v>56</v>
      </c>
      <c r="G224" s="1">
        <v>-3.92</v>
      </c>
      <c r="H224" s="1">
        <v>0</v>
      </c>
      <c r="I224" s="1">
        <v>3.12</v>
      </c>
      <c r="J224" s="1">
        <v>5.21</v>
      </c>
      <c r="K224" s="1">
        <v>60.41</v>
      </c>
      <c r="M224" s="7">
        <f t="shared" si="3"/>
        <v>5.9907834101382493E-2</v>
      </c>
    </row>
    <row r="225" spans="1:13" x14ac:dyDescent="0.4">
      <c r="A225" s="1" t="s">
        <v>188</v>
      </c>
      <c r="B225" s="1" t="s">
        <v>192</v>
      </c>
      <c r="C225" s="1" t="s">
        <v>68</v>
      </c>
      <c r="D225" s="1" t="s">
        <v>16</v>
      </c>
      <c r="E225" s="1">
        <v>11</v>
      </c>
      <c r="F225" s="1">
        <v>165</v>
      </c>
      <c r="G225" s="1">
        <v>0</v>
      </c>
      <c r="H225" s="1">
        <v>0</v>
      </c>
      <c r="I225" s="1">
        <v>9.9</v>
      </c>
      <c r="J225" s="1">
        <v>15</v>
      </c>
      <c r="K225" s="1">
        <v>189.9</v>
      </c>
      <c r="M225">
        <f t="shared" si="3"/>
        <v>6.0000000000000005E-2</v>
      </c>
    </row>
    <row r="226" spans="1:13" x14ac:dyDescent="0.4">
      <c r="A226" s="1" t="s">
        <v>188</v>
      </c>
      <c r="B226" s="1" t="s">
        <v>192</v>
      </c>
      <c r="C226" s="1" t="s">
        <v>91</v>
      </c>
      <c r="D226" s="1" t="s">
        <v>16</v>
      </c>
      <c r="E226" s="1">
        <v>3</v>
      </c>
      <c r="F226" s="1">
        <v>69</v>
      </c>
      <c r="G226" s="1">
        <v>0</v>
      </c>
      <c r="H226" s="1">
        <v>0</v>
      </c>
      <c r="I226" s="1">
        <v>4.1399999999999997</v>
      </c>
      <c r="J226" s="1">
        <v>6.9</v>
      </c>
      <c r="K226" s="1">
        <v>80.040000000000006</v>
      </c>
      <c r="M226">
        <f t="shared" si="3"/>
        <v>0.06</v>
      </c>
    </row>
    <row r="227" spans="1:13" x14ac:dyDescent="0.4">
      <c r="A227" s="1" t="s">
        <v>188</v>
      </c>
      <c r="B227" s="1" t="s">
        <v>193</v>
      </c>
      <c r="C227" s="1" t="s">
        <v>68</v>
      </c>
      <c r="D227" s="1" t="s">
        <v>16</v>
      </c>
      <c r="E227" s="1">
        <v>3</v>
      </c>
      <c r="F227" s="1">
        <v>45</v>
      </c>
      <c r="G227" s="1">
        <v>-1.27</v>
      </c>
      <c r="H227" s="1">
        <v>0</v>
      </c>
      <c r="I227" s="1">
        <v>2.62</v>
      </c>
      <c r="J227" s="1">
        <v>4.37</v>
      </c>
      <c r="K227" s="1">
        <v>50.73</v>
      </c>
      <c r="M227" s="7">
        <f t="shared" si="3"/>
        <v>5.9913103132860746E-2</v>
      </c>
    </row>
    <row r="228" spans="1:13" x14ac:dyDescent="0.4">
      <c r="A228" s="1" t="s">
        <v>188</v>
      </c>
      <c r="B228" s="1" t="s">
        <v>194</v>
      </c>
      <c r="C228" s="1" t="s">
        <v>91</v>
      </c>
      <c r="D228" s="1" t="s">
        <v>16</v>
      </c>
      <c r="E228" s="1">
        <v>13</v>
      </c>
      <c r="F228" s="1">
        <v>364</v>
      </c>
      <c r="G228" s="1">
        <v>0</v>
      </c>
      <c r="H228" s="1">
        <v>0</v>
      </c>
      <c r="I228" s="1">
        <v>21.84</v>
      </c>
      <c r="J228" s="1">
        <v>36.4</v>
      </c>
      <c r="K228" s="1">
        <v>422.24</v>
      </c>
      <c r="M228">
        <f t="shared" si="3"/>
        <v>0.06</v>
      </c>
    </row>
    <row r="229" spans="1:13" x14ac:dyDescent="0.4">
      <c r="A229" s="1" t="s">
        <v>188</v>
      </c>
      <c r="B229" s="1" t="s">
        <v>194</v>
      </c>
      <c r="C229" s="1" t="s">
        <v>88</v>
      </c>
      <c r="D229" s="1" t="s">
        <v>16</v>
      </c>
      <c r="E229" s="1">
        <v>1</v>
      </c>
      <c r="F229" s="1">
        <v>38</v>
      </c>
      <c r="G229" s="1">
        <v>0</v>
      </c>
      <c r="H229" s="1">
        <v>0</v>
      </c>
      <c r="I229" s="1">
        <v>2.2799999999999998</v>
      </c>
      <c r="J229" s="1">
        <v>3.8</v>
      </c>
      <c r="K229" s="1">
        <v>44.08</v>
      </c>
      <c r="M229">
        <f t="shared" si="3"/>
        <v>0.06</v>
      </c>
    </row>
    <row r="230" spans="1:13" x14ac:dyDescent="0.4">
      <c r="A230" s="1" t="s">
        <v>188</v>
      </c>
      <c r="B230" s="1" t="s">
        <v>194</v>
      </c>
      <c r="C230" s="1" t="s">
        <v>68</v>
      </c>
      <c r="D230" s="1" t="s">
        <v>16</v>
      </c>
      <c r="E230" s="1">
        <v>42</v>
      </c>
      <c r="F230" s="1">
        <v>840</v>
      </c>
      <c r="G230" s="1">
        <v>-10.210000000000001</v>
      </c>
      <c r="H230" s="1">
        <v>0</v>
      </c>
      <c r="I230" s="1">
        <v>49.79</v>
      </c>
      <c r="J230" s="1">
        <v>82.98</v>
      </c>
      <c r="K230" s="1">
        <v>962.56</v>
      </c>
      <c r="M230" s="7">
        <f t="shared" si="3"/>
        <v>6.0003133322888924E-2</v>
      </c>
    </row>
    <row r="231" spans="1:13" x14ac:dyDescent="0.4">
      <c r="A231" s="1" t="s">
        <v>188</v>
      </c>
      <c r="B231" s="1" t="s">
        <v>195</v>
      </c>
      <c r="C231" s="1" t="s">
        <v>91</v>
      </c>
      <c r="D231" s="1" t="s">
        <v>16</v>
      </c>
      <c r="E231" s="1">
        <v>1</v>
      </c>
      <c r="F231" s="1">
        <v>38</v>
      </c>
      <c r="G231" s="1">
        <v>0</v>
      </c>
      <c r="H231" s="1">
        <v>0</v>
      </c>
      <c r="I231" s="1">
        <v>2.2799999999999998</v>
      </c>
      <c r="J231" s="1">
        <v>3.8</v>
      </c>
      <c r="K231" s="1">
        <v>44.08</v>
      </c>
      <c r="M231">
        <f t="shared" si="3"/>
        <v>0.06</v>
      </c>
    </row>
    <row r="232" spans="1:13" x14ac:dyDescent="0.4">
      <c r="A232" s="1" t="s">
        <v>188</v>
      </c>
      <c r="B232" s="1" t="s">
        <v>196</v>
      </c>
      <c r="C232" s="1" t="s">
        <v>91</v>
      </c>
      <c r="D232" s="1" t="s">
        <v>16</v>
      </c>
      <c r="E232" s="1">
        <v>3</v>
      </c>
      <c r="F232" s="1">
        <v>69</v>
      </c>
      <c r="G232" s="1">
        <v>-2.39</v>
      </c>
      <c r="H232" s="1">
        <v>0</v>
      </c>
      <c r="I232" s="1">
        <v>4</v>
      </c>
      <c r="J232" s="1">
        <v>6.66</v>
      </c>
      <c r="K232" s="1">
        <v>77.27</v>
      </c>
      <c r="M232" s="7">
        <f t="shared" si="3"/>
        <v>6.0051043386878847E-2</v>
      </c>
    </row>
    <row r="233" spans="1:13" x14ac:dyDescent="0.4">
      <c r="A233" s="1" t="s">
        <v>188</v>
      </c>
      <c r="B233" s="1" t="s">
        <v>196</v>
      </c>
      <c r="C233" s="1" t="s">
        <v>68</v>
      </c>
      <c r="D233" s="1" t="s">
        <v>16</v>
      </c>
      <c r="E233" s="1">
        <v>14</v>
      </c>
      <c r="F233" s="1">
        <v>210</v>
      </c>
      <c r="G233" s="1">
        <v>0</v>
      </c>
      <c r="H233" s="1">
        <v>0</v>
      </c>
      <c r="I233" s="1">
        <v>12.6</v>
      </c>
      <c r="J233" s="1">
        <v>19.5</v>
      </c>
      <c r="K233" s="1">
        <v>242.1</v>
      </c>
      <c r="M233">
        <f t="shared" si="3"/>
        <v>0.06</v>
      </c>
    </row>
    <row r="234" spans="1:13" x14ac:dyDescent="0.4">
      <c r="A234" s="1" t="s">
        <v>188</v>
      </c>
      <c r="B234" s="1" t="s">
        <v>196</v>
      </c>
      <c r="C234" s="1" t="s">
        <v>88</v>
      </c>
      <c r="D234" s="1" t="s">
        <v>16</v>
      </c>
      <c r="E234" s="1">
        <v>3</v>
      </c>
      <c r="F234" s="1">
        <v>84</v>
      </c>
      <c r="G234" s="1">
        <v>0</v>
      </c>
      <c r="H234" s="1">
        <v>0</v>
      </c>
      <c r="I234" s="1">
        <v>5.04</v>
      </c>
      <c r="J234" s="1">
        <v>5.6</v>
      </c>
      <c r="K234" s="1">
        <v>94.64</v>
      </c>
      <c r="M234">
        <f t="shared" si="3"/>
        <v>0.06</v>
      </c>
    </row>
    <row r="235" spans="1:13" x14ac:dyDescent="0.4">
      <c r="A235" s="1" t="s">
        <v>188</v>
      </c>
      <c r="B235" s="1" t="s">
        <v>197</v>
      </c>
      <c r="C235" s="1" t="s">
        <v>88</v>
      </c>
      <c r="D235" s="1" t="s">
        <v>16</v>
      </c>
      <c r="E235" s="1">
        <v>1</v>
      </c>
      <c r="F235" s="1">
        <v>28</v>
      </c>
      <c r="G235" s="1">
        <v>0</v>
      </c>
      <c r="H235" s="1">
        <v>0</v>
      </c>
      <c r="I235" s="1">
        <v>1.68</v>
      </c>
      <c r="J235" s="1">
        <v>2.8</v>
      </c>
      <c r="K235" s="1">
        <v>32.479999999999997</v>
      </c>
      <c r="M235">
        <f t="shared" si="3"/>
        <v>0.06</v>
      </c>
    </row>
    <row r="236" spans="1:13" x14ac:dyDescent="0.4">
      <c r="A236" s="1" t="s">
        <v>188</v>
      </c>
      <c r="B236" s="1" t="s">
        <v>197</v>
      </c>
      <c r="C236" s="1" t="s">
        <v>68</v>
      </c>
      <c r="D236" s="1" t="s">
        <v>16</v>
      </c>
      <c r="E236" s="1">
        <v>3</v>
      </c>
      <c r="F236" s="1">
        <v>45</v>
      </c>
      <c r="G236" s="1">
        <v>0</v>
      </c>
      <c r="H236" s="1">
        <v>0</v>
      </c>
      <c r="I236" s="1">
        <v>2.7</v>
      </c>
      <c r="J236" s="1">
        <v>4.5</v>
      </c>
      <c r="K236" s="1">
        <v>52.2</v>
      </c>
      <c r="M236">
        <f t="shared" si="3"/>
        <v>6.0000000000000005E-2</v>
      </c>
    </row>
    <row r="237" spans="1:13" x14ac:dyDescent="0.4">
      <c r="A237" s="1" t="s">
        <v>188</v>
      </c>
      <c r="B237" s="1" t="s">
        <v>197</v>
      </c>
      <c r="C237" s="1" t="s">
        <v>91</v>
      </c>
      <c r="D237" s="1" t="s">
        <v>16</v>
      </c>
      <c r="E237" s="1">
        <v>2</v>
      </c>
      <c r="F237" s="1">
        <v>46</v>
      </c>
      <c r="G237" s="1">
        <v>-4.3600000000000003</v>
      </c>
      <c r="H237" s="1">
        <v>0</v>
      </c>
      <c r="I237" s="1">
        <v>2.5</v>
      </c>
      <c r="J237" s="1">
        <v>4.16</v>
      </c>
      <c r="K237" s="1">
        <v>48.3</v>
      </c>
      <c r="M237" s="7">
        <f t="shared" si="3"/>
        <v>6.0038424591738714E-2</v>
      </c>
    </row>
    <row r="238" spans="1:13" x14ac:dyDescent="0.4">
      <c r="A238" s="1" t="s">
        <v>188</v>
      </c>
      <c r="B238" s="1" t="s">
        <v>198</v>
      </c>
      <c r="C238" s="1" t="s">
        <v>68</v>
      </c>
      <c r="D238" s="1" t="s">
        <v>16</v>
      </c>
      <c r="E238" s="1">
        <v>2</v>
      </c>
      <c r="F238" s="1">
        <v>56</v>
      </c>
      <c r="G238" s="1">
        <v>0</v>
      </c>
      <c r="H238" s="1">
        <v>0</v>
      </c>
      <c r="I238" s="1">
        <v>3.36</v>
      </c>
      <c r="J238" s="1">
        <v>2.8</v>
      </c>
      <c r="K238" s="1">
        <v>62.16</v>
      </c>
      <c r="M238">
        <f t="shared" si="3"/>
        <v>0.06</v>
      </c>
    </row>
    <row r="239" spans="1:13" x14ac:dyDescent="0.4">
      <c r="A239" s="1" t="s">
        <v>188</v>
      </c>
      <c r="B239" s="1" t="s">
        <v>199</v>
      </c>
      <c r="C239" s="1" t="s">
        <v>68</v>
      </c>
      <c r="D239" s="1" t="s">
        <v>16</v>
      </c>
      <c r="E239" s="1">
        <v>1</v>
      </c>
      <c r="F239" s="1">
        <v>38</v>
      </c>
      <c r="G239" s="1">
        <v>0</v>
      </c>
      <c r="H239" s="1">
        <v>0</v>
      </c>
      <c r="I239" s="1">
        <v>2.2799999999999998</v>
      </c>
      <c r="J239" s="1">
        <v>3.8</v>
      </c>
      <c r="K239" s="1">
        <v>44.08</v>
      </c>
      <c r="M239">
        <f t="shared" si="3"/>
        <v>0.06</v>
      </c>
    </row>
    <row r="240" spans="1:13" x14ac:dyDescent="0.4">
      <c r="A240" s="1" t="s">
        <v>188</v>
      </c>
      <c r="B240" s="1" t="s">
        <v>200</v>
      </c>
      <c r="C240" s="1" t="s">
        <v>91</v>
      </c>
      <c r="D240" s="1" t="s">
        <v>16</v>
      </c>
      <c r="E240" s="1">
        <v>1</v>
      </c>
      <c r="F240" s="1">
        <v>38</v>
      </c>
      <c r="G240" s="1">
        <v>0</v>
      </c>
      <c r="H240" s="1">
        <v>0</v>
      </c>
      <c r="I240" s="1">
        <v>2.2799999999999998</v>
      </c>
      <c r="J240" s="1">
        <v>3.8</v>
      </c>
      <c r="K240" s="1">
        <v>44.08</v>
      </c>
      <c r="M240">
        <f t="shared" si="3"/>
        <v>0.06</v>
      </c>
    </row>
    <row r="241" spans="1:13" x14ac:dyDescent="0.4">
      <c r="A241" s="1" t="s">
        <v>188</v>
      </c>
      <c r="B241" s="1" t="s">
        <v>200</v>
      </c>
      <c r="C241" s="1" t="s">
        <v>68</v>
      </c>
      <c r="D241" s="1" t="s">
        <v>16</v>
      </c>
      <c r="E241" s="1">
        <v>8</v>
      </c>
      <c r="F241" s="1">
        <v>200</v>
      </c>
      <c r="G241" s="1">
        <v>0</v>
      </c>
      <c r="H241" s="1">
        <v>0</v>
      </c>
      <c r="I241" s="1">
        <v>12</v>
      </c>
      <c r="J241" s="1">
        <v>17.5</v>
      </c>
      <c r="K241" s="1">
        <v>229.5</v>
      </c>
      <c r="M241">
        <f t="shared" si="3"/>
        <v>0.06</v>
      </c>
    </row>
    <row r="242" spans="1:13" x14ac:dyDescent="0.4">
      <c r="A242" s="1" t="s">
        <v>188</v>
      </c>
      <c r="B242" s="1" t="s">
        <v>201</v>
      </c>
      <c r="C242" s="1" t="s">
        <v>91</v>
      </c>
      <c r="D242" s="1" t="s">
        <v>16</v>
      </c>
      <c r="E242" s="1">
        <v>1</v>
      </c>
      <c r="F242" s="1">
        <v>58</v>
      </c>
      <c r="G242" s="1">
        <v>-5.94</v>
      </c>
      <c r="H242" s="1">
        <v>0</v>
      </c>
      <c r="I242" s="1">
        <v>3.12</v>
      </c>
      <c r="J242" s="1">
        <v>5.21</v>
      </c>
      <c r="K242" s="1">
        <v>60.39</v>
      </c>
      <c r="M242" s="7">
        <f t="shared" si="3"/>
        <v>5.9930849020361124E-2</v>
      </c>
    </row>
    <row r="243" spans="1:13" x14ac:dyDescent="0.4">
      <c r="A243" s="1" t="s">
        <v>188</v>
      </c>
      <c r="B243" s="1" t="s">
        <v>201</v>
      </c>
      <c r="C243" s="1" t="s">
        <v>68</v>
      </c>
      <c r="D243" s="1" t="s">
        <v>16</v>
      </c>
      <c r="E243" s="1">
        <v>7</v>
      </c>
      <c r="F243" s="1">
        <v>266</v>
      </c>
      <c r="G243" s="1">
        <v>0</v>
      </c>
      <c r="H243" s="1">
        <v>0</v>
      </c>
      <c r="I243" s="1">
        <v>15.96</v>
      </c>
      <c r="J243" s="1">
        <v>22.8</v>
      </c>
      <c r="K243" s="1">
        <v>304.76</v>
      </c>
      <c r="M243">
        <f t="shared" si="3"/>
        <v>6.0000000000000005E-2</v>
      </c>
    </row>
    <row r="244" spans="1:13" x14ac:dyDescent="0.4">
      <c r="A244" s="1" t="s">
        <v>188</v>
      </c>
      <c r="B244" s="1" t="s">
        <v>202</v>
      </c>
      <c r="C244" s="1" t="s">
        <v>68</v>
      </c>
      <c r="D244" s="1" t="s">
        <v>16</v>
      </c>
      <c r="E244" s="1">
        <v>11</v>
      </c>
      <c r="F244" s="1">
        <v>418</v>
      </c>
      <c r="G244" s="1">
        <v>0</v>
      </c>
      <c r="H244" s="1">
        <v>0</v>
      </c>
      <c r="I244" s="1">
        <v>25.08</v>
      </c>
      <c r="J244" s="1">
        <v>41.8</v>
      </c>
      <c r="K244" s="1">
        <v>484.88</v>
      </c>
      <c r="M244">
        <f t="shared" si="3"/>
        <v>0.06</v>
      </c>
    </row>
    <row r="245" spans="1:13" x14ac:dyDescent="0.4">
      <c r="A245" s="1" t="s">
        <v>188</v>
      </c>
      <c r="B245" s="1" t="s">
        <v>202</v>
      </c>
      <c r="C245" s="1" t="s">
        <v>91</v>
      </c>
      <c r="D245" s="1" t="s">
        <v>16</v>
      </c>
      <c r="E245" s="1">
        <v>7</v>
      </c>
      <c r="F245" s="1">
        <v>406</v>
      </c>
      <c r="G245" s="1">
        <v>0</v>
      </c>
      <c r="H245" s="1">
        <v>0</v>
      </c>
      <c r="I245" s="1">
        <v>24.36</v>
      </c>
      <c r="J245" s="1">
        <v>40.6</v>
      </c>
      <c r="K245" s="1">
        <v>470.96</v>
      </c>
      <c r="M245">
        <f t="shared" si="3"/>
        <v>0.06</v>
      </c>
    </row>
    <row r="246" spans="1:13" x14ac:dyDescent="0.4">
      <c r="A246" s="1" t="s">
        <v>188</v>
      </c>
      <c r="B246" s="1" t="s">
        <v>203</v>
      </c>
      <c r="C246" s="1" t="s">
        <v>91</v>
      </c>
      <c r="D246" s="1" t="s">
        <v>16</v>
      </c>
      <c r="E246" s="1">
        <v>21</v>
      </c>
      <c r="F246" s="1">
        <v>588</v>
      </c>
      <c r="G246" s="1">
        <v>-12.66</v>
      </c>
      <c r="H246" s="1">
        <v>0</v>
      </c>
      <c r="I246" s="1">
        <v>34.520000000000003</v>
      </c>
      <c r="J246" s="1">
        <v>57.53</v>
      </c>
      <c r="K246" s="1">
        <v>667.39</v>
      </c>
      <c r="M246" s="7">
        <f t="shared" si="3"/>
        <v>5.9999304758925162E-2</v>
      </c>
    </row>
    <row r="247" spans="1:13" x14ac:dyDescent="0.4">
      <c r="A247" s="1" t="s">
        <v>188</v>
      </c>
      <c r="B247" s="1" t="s">
        <v>203</v>
      </c>
      <c r="C247" s="1" t="s">
        <v>68</v>
      </c>
      <c r="D247" s="1" t="s">
        <v>16</v>
      </c>
      <c r="E247" s="1">
        <v>52</v>
      </c>
      <c r="F247" s="1">
        <v>1040</v>
      </c>
      <c r="G247" s="1">
        <v>-7.77</v>
      </c>
      <c r="H247" s="1">
        <v>0</v>
      </c>
      <c r="I247" s="1">
        <v>61.93</v>
      </c>
      <c r="J247" s="1">
        <v>97.22</v>
      </c>
      <c r="K247" s="1">
        <v>1191.3900000000001</v>
      </c>
      <c r="M247" s="7">
        <f t="shared" si="3"/>
        <v>5.999631864991329E-2</v>
      </c>
    </row>
    <row r="248" spans="1:13" x14ac:dyDescent="0.4">
      <c r="A248" s="1" t="s">
        <v>188</v>
      </c>
      <c r="B248" s="1" t="s">
        <v>203</v>
      </c>
      <c r="C248" s="1" t="s">
        <v>88</v>
      </c>
      <c r="D248" s="1" t="s">
        <v>16</v>
      </c>
      <c r="E248" s="1">
        <v>12</v>
      </c>
      <c r="F248" s="1">
        <v>456</v>
      </c>
      <c r="G248" s="1">
        <v>-3.02</v>
      </c>
      <c r="H248" s="1">
        <v>0</v>
      </c>
      <c r="I248" s="1">
        <v>27.18</v>
      </c>
      <c r="J248" s="1">
        <v>45.3</v>
      </c>
      <c r="K248" s="1">
        <v>525.46</v>
      </c>
      <c r="M248" s="7">
        <f t="shared" si="3"/>
        <v>6.0002649123581615E-2</v>
      </c>
    </row>
    <row r="249" spans="1:13" x14ac:dyDescent="0.4">
      <c r="A249" s="1" t="s">
        <v>188</v>
      </c>
      <c r="B249" s="1" t="s">
        <v>204</v>
      </c>
      <c r="C249" s="1" t="s">
        <v>68</v>
      </c>
      <c r="D249" s="1" t="s">
        <v>16</v>
      </c>
      <c r="E249" s="1">
        <v>10</v>
      </c>
      <c r="F249" s="1">
        <v>200</v>
      </c>
      <c r="G249" s="1">
        <v>0</v>
      </c>
      <c r="H249" s="1">
        <v>0</v>
      </c>
      <c r="I249" s="1">
        <v>12</v>
      </c>
      <c r="J249" s="1">
        <v>20</v>
      </c>
      <c r="K249" s="1">
        <v>232</v>
      </c>
      <c r="M249">
        <f t="shared" si="3"/>
        <v>0.06</v>
      </c>
    </row>
    <row r="250" spans="1:13" x14ac:dyDescent="0.4">
      <c r="A250" s="1" t="s">
        <v>188</v>
      </c>
      <c r="B250" s="1" t="s">
        <v>204</v>
      </c>
      <c r="C250" s="1" t="s">
        <v>91</v>
      </c>
      <c r="D250" s="1" t="s">
        <v>16</v>
      </c>
      <c r="E250" s="1">
        <v>7</v>
      </c>
      <c r="F250" s="1">
        <v>196</v>
      </c>
      <c r="G250" s="1">
        <v>0</v>
      </c>
      <c r="H250" s="1">
        <v>0</v>
      </c>
      <c r="I250" s="1">
        <v>11.76</v>
      </c>
      <c r="J250" s="1">
        <v>8.4</v>
      </c>
      <c r="K250" s="1">
        <v>216.16</v>
      </c>
      <c r="M250">
        <f t="shared" si="3"/>
        <v>0.06</v>
      </c>
    </row>
    <row r="251" spans="1:13" x14ac:dyDescent="0.4">
      <c r="A251" s="1" t="s">
        <v>188</v>
      </c>
      <c r="B251" s="1" t="s">
        <v>204</v>
      </c>
      <c r="C251" s="1" t="s">
        <v>88</v>
      </c>
      <c r="D251" s="1" t="s">
        <v>16</v>
      </c>
      <c r="E251" s="1">
        <v>3</v>
      </c>
      <c r="F251" s="1">
        <v>114</v>
      </c>
      <c r="G251" s="1">
        <v>0</v>
      </c>
      <c r="H251" s="1">
        <v>0</v>
      </c>
      <c r="I251" s="1">
        <v>6.84</v>
      </c>
      <c r="J251" s="1">
        <v>11.4</v>
      </c>
      <c r="K251" s="1">
        <v>132.24</v>
      </c>
      <c r="M251">
        <f t="shared" si="3"/>
        <v>0.06</v>
      </c>
    </row>
    <row r="252" spans="1:13" x14ac:dyDescent="0.4">
      <c r="A252" s="1" t="s">
        <v>188</v>
      </c>
      <c r="B252" s="1" t="s">
        <v>205</v>
      </c>
      <c r="C252" s="1" t="s">
        <v>88</v>
      </c>
      <c r="D252" s="1" t="s">
        <v>16</v>
      </c>
      <c r="E252" s="1">
        <v>1</v>
      </c>
      <c r="F252" s="1">
        <v>36</v>
      </c>
      <c r="G252" s="1">
        <v>0</v>
      </c>
      <c r="H252" s="1">
        <v>0</v>
      </c>
      <c r="I252" s="1">
        <v>2.16</v>
      </c>
      <c r="J252" s="1">
        <v>3.6</v>
      </c>
      <c r="K252" s="1">
        <v>41.76</v>
      </c>
      <c r="M252">
        <f t="shared" si="3"/>
        <v>6.0000000000000005E-2</v>
      </c>
    </row>
    <row r="253" spans="1:13" x14ac:dyDescent="0.4">
      <c r="A253" s="1" t="s">
        <v>188</v>
      </c>
      <c r="B253" s="1" t="s">
        <v>205</v>
      </c>
      <c r="C253" s="1" t="s">
        <v>68</v>
      </c>
      <c r="D253" s="1" t="s">
        <v>16</v>
      </c>
      <c r="E253" s="1">
        <v>16</v>
      </c>
      <c r="F253" s="1">
        <v>288</v>
      </c>
      <c r="G253" s="1">
        <v>0</v>
      </c>
      <c r="H253" s="1">
        <v>0</v>
      </c>
      <c r="I253" s="1">
        <v>17.28</v>
      </c>
      <c r="J253" s="1">
        <v>28.8</v>
      </c>
      <c r="K253" s="1">
        <v>334.08</v>
      </c>
      <c r="M253">
        <f t="shared" si="3"/>
        <v>6.0000000000000005E-2</v>
      </c>
    </row>
    <row r="254" spans="1:13" x14ac:dyDescent="0.4">
      <c r="A254" s="1" t="s">
        <v>188</v>
      </c>
      <c r="B254" s="1" t="s">
        <v>206</v>
      </c>
      <c r="C254" s="1" t="s">
        <v>68</v>
      </c>
      <c r="D254" s="1" t="s">
        <v>16</v>
      </c>
      <c r="E254" s="1">
        <v>4</v>
      </c>
      <c r="F254" s="1">
        <v>152</v>
      </c>
      <c r="G254" s="1">
        <v>0</v>
      </c>
      <c r="H254" s="1">
        <v>0</v>
      </c>
      <c r="I254" s="1">
        <v>9.1199999999999992</v>
      </c>
      <c r="J254" s="1">
        <v>15.2</v>
      </c>
      <c r="K254" s="1">
        <v>176.32</v>
      </c>
      <c r="M254">
        <f t="shared" si="3"/>
        <v>0.06</v>
      </c>
    </row>
    <row r="255" spans="1:13" x14ac:dyDescent="0.4">
      <c r="A255" s="1" t="s">
        <v>188</v>
      </c>
      <c r="B255" s="1" t="s">
        <v>207</v>
      </c>
      <c r="C255" s="1" t="s">
        <v>68</v>
      </c>
      <c r="D255" s="1" t="s">
        <v>16</v>
      </c>
      <c r="E255" s="1">
        <v>15</v>
      </c>
      <c r="F255" s="1">
        <v>300</v>
      </c>
      <c r="G255" s="1">
        <v>-3.79</v>
      </c>
      <c r="H255" s="1">
        <v>0</v>
      </c>
      <c r="I255" s="1">
        <v>17.77</v>
      </c>
      <c r="J255" s="1">
        <v>29.62</v>
      </c>
      <c r="K255" s="1">
        <v>343.6</v>
      </c>
      <c r="M255" s="7">
        <f t="shared" si="3"/>
        <v>5.9991222443536683E-2</v>
      </c>
    </row>
    <row r="256" spans="1:13" x14ac:dyDescent="0.4">
      <c r="A256" s="1" t="s">
        <v>188</v>
      </c>
      <c r="B256" s="1" t="s">
        <v>207</v>
      </c>
      <c r="C256" s="1" t="s">
        <v>91</v>
      </c>
      <c r="D256" s="1" t="s">
        <v>16</v>
      </c>
      <c r="E256" s="1">
        <v>2</v>
      </c>
      <c r="F256" s="1">
        <v>56</v>
      </c>
      <c r="G256" s="1">
        <v>-5.7</v>
      </c>
      <c r="H256" s="1">
        <v>0</v>
      </c>
      <c r="I256" s="1">
        <v>3.02</v>
      </c>
      <c r="J256" s="1">
        <v>5.03</v>
      </c>
      <c r="K256" s="1">
        <v>58.35</v>
      </c>
      <c r="M256" s="7">
        <f t="shared" si="3"/>
        <v>6.0039761431411535E-2</v>
      </c>
    </row>
    <row r="257" spans="1:13" x14ac:dyDescent="0.4">
      <c r="A257" s="3" t="s">
        <v>208</v>
      </c>
      <c r="B257" s="3" t="s">
        <v>16</v>
      </c>
      <c r="C257" s="3" t="s">
        <v>16</v>
      </c>
      <c r="D257" s="3" t="s">
        <v>16</v>
      </c>
      <c r="E257" s="3">
        <v>92</v>
      </c>
      <c r="F257" s="3">
        <v>4470</v>
      </c>
      <c r="G257" s="3">
        <v>-49.78</v>
      </c>
      <c r="H257" s="3">
        <v>0</v>
      </c>
      <c r="I257" s="3">
        <v>265.20999999999998</v>
      </c>
      <c r="J257" s="3">
        <v>404.42</v>
      </c>
      <c r="K257" s="3">
        <v>5089.8599999999997</v>
      </c>
      <c r="M257" s="7">
        <f t="shared" si="3"/>
        <v>5.9999276054133042E-2</v>
      </c>
    </row>
    <row r="258" spans="1:13" x14ac:dyDescent="0.4">
      <c r="A258" s="1" t="s">
        <v>208</v>
      </c>
      <c r="B258" s="1" t="s">
        <v>209</v>
      </c>
      <c r="C258" s="1" t="s">
        <v>91</v>
      </c>
      <c r="D258" s="1" t="s">
        <v>16</v>
      </c>
      <c r="E258" s="1">
        <v>4</v>
      </c>
      <c r="F258" s="1">
        <v>232</v>
      </c>
      <c r="G258" s="1">
        <v>-12.03</v>
      </c>
      <c r="H258" s="1">
        <v>0</v>
      </c>
      <c r="I258" s="1">
        <v>13.2</v>
      </c>
      <c r="J258" s="1">
        <v>22</v>
      </c>
      <c r="K258" s="1">
        <v>255.17</v>
      </c>
      <c r="M258" s="7">
        <f t="shared" si="3"/>
        <v>6.0008182934036459E-2</v>
      </c>
    </row>
    <row r="259" spans="1:13" x14ac:dyDescent="0.4">
      <c r="A259" s="1" t="s">
        <v>208</v>
      </c>
      <c r="B259" s="1" t="s">
        <v>209</v>
      </c>
      <c r="C259" s="1" t="s">
        <v>68</v>
      </c>
      <c r="D259" s="1" t="s">
        <v>16</v>
      </c>
      <c r="E259" s="1">
        <v>8</v>
      </c>
      <c r="F259" s="1">
        <v>304</v>
      </c>
      <c r="G259" s="1">
        <v>0</v>
      </c>
      <c r="H259" s="1">
        <v>0</v>
      </c>
      <c r="I259" s="1">
        <v>18.239999999999998</v>
      </c>
      <c r="J259" s="1">
        <v>26.6</v>
      </c>
      <c r="K259" s="1">
        <v>348.84</v>
      </c>
      <c r="M259">
        <f t="shared" si="3"/>
        <v>0.06</v>
      </c>
    </row>
    <row r="260" spans="1:13" x14ac:dyDescent="0.4">
      <c r="A260" s="1" t="s">
        <v>208</v>
      </c>
      <c r="B260" s="1" t="s">
        <v>210</v>
      </c>
      <c r="C260" s="1" t="s">
        <v>68</v>
      </c>
      <c r="D260" s="1" t="s">
        <v>16</v>
      </c>
      <c r="E260" s="1">
        <v>1</v>
      </c>
      <c r="F260" s="1">
        <v>45</v>
      </c>
      <c r="G260" s="1">
        <v>0</v>
      </c>
      <c r="H260" s="1">
        <v>0</v>
      </c>
      <c r="I260" s="1">
        <v>2.7</v>
      </c>
      <c r="J260" s="1">
        <v>4.5</v>
      </c>
      <c r="K260" s="1">
        <v>52.2</v>
      </c>
      <c r="M260">
        <f t="shared" si="3"/>
        <v>6.0000000000000005E-2</v>
      </c>
    </row>
    <row r="261" spans="1:13" x14ac:dyDescent="0.4">
      <c r="A261" s="1" t="s">
        <v>208</v>
      </c>
      <c r="B261" s="1" t="s">
        <v>211</v>
      </c>
      <c r="C261" s="1" t="s">
        <v>91</v>
      </c>
      <c r="D261" s="1" t="s">
        <v>16</v>
      </c>
      <c r="E261" s="1">
        <v>2</v>
      </c>
      <c r="F261" s="1">
        <v>120</v>
      </c>
      <c r="G261" s="1">
        <v>0</v>
      </c>
      <c r="H261" s="1">
        <v>0</v>
      </c>
      <c r="I261" s="1">
        <v>7.2</v>
      </c>
      <c r="J261" s="1">
        <v>12</v>
      </c>
      <c r="K261" s="1">
        <v>139.19999999999999</v>
      </c>
      <c r="M261">
        <f t="shared" si="3"/>
        <v>6.0000000000000005E-2</v>
      </c>
    </row>
    <row r="262" spans="1:13" x14ac:dyDescent="0.4">
      <c r="A262" s="1" t="s">
        <v>208</v>
      </c>
      <c r="B262" s="1" t="s">
        <v>211</v>
      </c>
      <c r="C262" s="1" t="s">
        <v>68</v>
      </c>
      <c r="D262" s="1" t="s">
        <v>16</v>
      </c>
      <c r="E262" s="1">
        <v>6</v>
      </c>
      <c r="F262" s="1">
        <v>270</v>
      </c>
      <c r="G262" s="1">
        <v>-4.7</v>
      </c>
      <c r="H262" s="1">
        <v>0</v>
      </c>
      <c r="I262" s="1">
        <v>15.92</v>
      </c>
      <c r="J262" s="1">
        <v>26.53</v>
      </c>
      <c r="K262" s="1">
        <v>307.75</v>
      </c>
      <c r="M262" s="7">
        <f t="shared" si="3"/>
        <v>6.0007538635506973E-2</v>
      </c>
    </row>
    <row r="263" spans="1:13" x14ac:dyDescent="0.4">
      <c r="A263" s="1" t="s">
        <v>208</v>
      </c>
      <c r="B263" s="1" t="s">
        <v>212</v>
      </c>
      <c r="C263" s="1" t="s">
        <v>91</v>
      </c>
      <c r="D263" s="1" t="s">
        <v>16</v>
      </c>
      <c r="E263" s="1">
        <v>1</v>
      </c>
      <c r="F263" s="1">
        <v>58</v>
      </c>
      <c r="G263" s="1">
        <v>-5.94</v>
      </c>
      <c r="H263" s="1">
        <v>0</v>
      </c>
      <c r="I263" s="1">
        <v>3.12</v>
      </c>
      <c r="J263" s="1">
        <v>5.21</v>
      </c>
      <c r="K263" s="1">
        <v>60.39</v>
      </c>
      <c r="M263" s="7">
        <f t="shared" si="3"/>
        <v>5.9930849020361124E-2</v>
      </c>
    </row>
    <row r="264" spans="1:13" x14ac:dyDescent="0.4">
      <c r="A264" s="1" t="s">
        <v>208</v>
      </c>
      <c r="B264" s="1" t="s">
        <v>212</v>
      </c>
      <c r="C264" s="1" t="s">
        <v>68</v>
      </c>
      <c r="D264" s="1" t="s">
        <v>16</v>
      </c>
      <c r="E264" s="1">
        <v>2</v>
      </c>
      <c r="F264" s="1">
        <v>76</v>
      </c>
      <c r="G264" s="1">
        <v>0</v>
      </c>
      <c r="H264" s="1">
        <v>0</v>
      </c>
      <c r="I264" s="1">
        <v>4.5599999999999996</v>
      </c>
      <c r="J264" s="1">
        <v>7.6</v>
      </c>
      <c r="K264" s="1">
        <v>88.16</v>
      </c>
      <c r="M264">
        <f t="shared" ref="M264:M327" si="4">I264/(F264+G264)</f>
        <v>0.06</v>
      </c>
    </row>
    <row r="265" spans="1:13" x14ac:dyDescent="0.4">
      <c r="A265" s="1" t="s">
        <v>208</v>
      </c>
      <c r="B265" s="1" t="s">
        <v>213</v>
      </c>
      <c r="C265" s="1" t="s">
        <v>68</v>
      </c>
      <c r="D265" s="1" t="s">
        <v>16</v>
      </c>
      <c r="E265" s="1">
        <v>3</v>
      </c>
      <c r="F265" s="1">
        <v>114</v>
      </c>
      <c r="G265" s="1">
        <v>0</v>
      </c>
      <c r="H265" s="1">
        <v>0</v>
      </c>
      <c r="I265" s="1">
        <v>6.84</v>
      </c>
      <c r="J265" s="1">
        <v>7.6</v>
      </c>
      <c r="K265" s="1">
        <v>128.44</v>
      </c>
      <c r="M265">
        <f t="shared" si="4"/>
        <v>0.06</v>
      </c>
    </row>
    <row r="266" spans="1:13" x14ac:dyDescent="0.4">
      <c r="A266" s="1" t="s">
        <v>208</v>
      </c>
      <c r="B266" s="1" t="s">
        <v>214</v>
      </c>
      <c r="C266" s="1" t="s">
        <v>16</v>
      </c>
      <c r="D266" s="1" t="s">
        <v>16</v>
      </c>
      <c r="E266" s="1">
        <v>2</v>
      </c>
      <c r="F266" s="1">
        <v>76</v>
      </c>
      <c r="G266" s="1">
        <v>0</v>
      </c>
      <c r="H266" s="1">
        <v>0</v>
      </c>
      <c r="I266" s="1">
        <v>4.5599999999999996</v>
      </c>
      <c r="J266" s="1">
        <v>7.6</v>
      </c>
      <c r="K266" s="1">
        <v>88.16</v>
      </c>
      <c r="M266">
        <f t="shared" si="4"/>
        <v>0.06</v>
      </c>
    </row>
    <row r="267" spans="1:13" x14ac:dyDescent="0.4">
      <c r="A267" s="1" t="s">
        <v>208</v>
      </c>
      <c r="B267" s="1" t="s">
        <v>215</v>
      </c>
      <c r="C267" s="1" t="s">
        <v>88</v>
      </c>
      <c r="D267" s="1" t="s">
        <v>16</v>
      </c>
      <c r="E267" s="1">
        <v>1</v>
      </c>
      <c r="F267" s="1">
        <v>75</v>
      </c>
      <c r="G267" s="1">
        <v>0</v>
      </c>
      <c r="H267" s="1">
        <v>0</v>
      </c>
      <c r="I267" s="1">
        <v>4.5</v>
      </c>
      <c r="J267" s="1">
        <v>7.5</v>
      </c>
      <c r="K267" s="1">
        <v>87</v>
      </c>
      <c r="M267">
        <f t="shared" si="4"/>
        <v>0.06</v>
      </c>
    </row>
    <row r="268" spans="1:13" x14ac:dyDescent="0.4">
      <c r="A268" s="1" t="s">
        <v>208</v>
      </c>
      <c r="B268" s="1" t="s">
        <v>215</v>
      </c>
      <c r="C268" s="1" t="s">
        <v>68</v>
      </c>
      <c r="D268" s="1" t="s">
        <v>16</v>
      </c>
      <c r="E268" s="1">
        <v>9</v>
      </c>
      <c r="F268" s="1">
        <v>405</v>
      </c>
      <c r="G268" s="1">
        <v>0</v>
      </c>
      <c r="H268" s="1">
        <v>0</v>
      </c>
      <c r="I268" s="1">
        <v>24.3</v>
      </c>
      <c r="J268" s="1">
        <v>40.5</v>
      </c>
      <c r="K268" s="1">
        <v>469.8</v>
      </c>
      <c r="M268">
        <f t="shared" si="4"/>
        <v>6.0000000000000005E-2</v>
      </c>
    </row>
    <row r="269" spans="1:13" x14ac:dyDescent="0.4">
      <c r="A269" s="1" t="s">
        <v>208</v>
      </c>
      <c r="B269" s="1" t="s">
        <v>216</v>
      </c>
      <c r="C269" s="1" t="s">
        <v>16</v>
      </c>
      <c r="D269" s="1" t="s">
        <v>16</v>
      </c>
      <c r="E269" s="1">
        <v>2</v>
      </c>
      <c r="F269" s="1">
        <v>76</v>
      </c>
      <c r="G269" s="1">
        <v>0</v>
      </c>
      <c r="H269" s="1">
        <v>0</v>
      </c>
      <c r="I269" s="1">
        <v>4.5599999999999996</v>
      </c>
      <c r="J269" s="1">
        <v>7.6</v>
      </c>
      <c r="K269" s="1">
        <v>88.16</v>
      </c>
      <c r="M269">
        <f t="shared" si="4"/>
        <v>0.06</v>
      </c>
    </row>
    <row r="270" spans="1:13" x14ac:dyDescent="0.4">
      <c r="A270" s="1" t="s">
        <v>208</v>
      </c>
      <c r="B270" s="1" t="s">
        <v>217</v>
      </c>
      <c r="C270" s="1" t="s">
        <v>68</v>
      </c>
      <c r="D270" s="1" t="s">
        <v>16</v>
      </c>
      <c r="E270" s="1">
        <v>2</v>
      </c>
      <c r="F270" s="1">
        <v>96</v>
      </c>
      <c r="G270" s="1">
        <v>0</v>
      </c>
      <c r="H270" s="1">
        <v>0</v>
      </c>
      <c r="I270" s="1">
        <v>5.76</v>
      </c>
      <c r="J270" s="1">
        <v>9.6</v>
      </c>
      <c r="K270" s="1">
        <v>111.36</v>
      </c>
      <c r="M270">
        <f t="shared" si="4"/>
        <v>0.06</v>
      </c>
    </row>
    <row r="271" spans="1:13" x14ac:dyDescent="0.4">
      <c r="A271" s="1" t="s">
        <v>208</v>
      </c>
      <c r="B271" s="1" t="s">
        <v>217</v>
      </c>
      <c r="C271" s="1" t="s">
        <v>91</v>
      </c>
      <c r="D271" s="1" t="s">
        <v>16</v>
      </c>
      <c r="E271" s="1">
        <v>4</v>
      </c>
      <c r="F271" s="1">
        <v>256</v>
      </c>
      <c r="G271" s="1">
        <v>-9.2799999999999994</v>
      </c>
      <c r="H271" s="1">
        <v>0</v>
      </c>
      <c r="I271" s="1">
        <v>14.8</v>
      </c>
      <c r="J271" s="1">
        <v>24.67</v>
      </c>
      <c r="K271" s="1">
        <v>286.2</v>
      </c>
      <c r="M271" s="7">
        <f t="shared" si="4"/>
        <v>5.998702983138781E-2</v>
      </c>
    </row>
    <row r="272" spans="1:13" x14ac:dyDescent="0.4">
      <c r="A272" s="1" t="s">
        <v>208</v>
      </c>
      <c r="B272" s="1" t="s">
        <v>218</v>
      </c>
      <c r="C272" s="1" t="s">
        <v>88</v>
      </c>
      <c r="D272" s="1" t="s">
        <v>16</v>
      </c>
      <c r="E272" s="1">
        <v>1</v>
      </c>
      <c r="F272" s="1">
        <v>78</v>
      </c>
      <c r="G272" s="1">
        <v>0</v>
      </c>
      <c r="H272" s="1">
        <v>0</v>
      </c>
      <c r="I272" s="1">
        <v>4.68</v>
      </c>
      <c r="J272" s="1">
        <v>7.8</v>
      </c>
      <c r="K272" s="1">
        <v>90.48</v>
      </c>
      <c r="M272">
        <f t="shared" si="4"/>
        <v>0.06</v>
      </c>
    </row>
    <row r="273" spans="1:13" x14ac:dyDescent="0.4">
      <c r="A273" s="1" t="s">
        <v>208</v>
      </c>
      <c r="B273" s="1" t="s">
        <v>218</v>
      </c>
      <c r="C273" s="1" t="s">
        <v>91</v>
      </c>
      <c r="D273" s="1" t="s">
        <v>16</v>
      </c>
      <c r="E273" s="1">
        <v>2</v>
      </c>
      <c r="F273" s="1">
        <v>116</v>
      </c>
      <c r="G273" s="1">
        <v>0</v>
      </c>
      <c r="H273" s="1">
        <v>0</v>
      </c>
      <c r="I273" s="1">
        <v>6.96</v>
      </c>
      <c r="J273" s="1">
        <v>11.6</v>
      </c>
      <c r="K273" s="1">
        <v>134.56</v>
      </c>
      <c r="M273">
        <f t="shared" si="4"/>
        <v>0.06</v>
      </c>
    </row>
    <row r="274" spans="1:13" x14ac:dyDescent="0.4">
      <c r="A274" s="1" t="s">
        <v>208</v>
      </c>
      <c r="B274" s="1" t="s">
        <v>218</v>
      </c>
      <c r="C274" s="1" t="s">
        <v>68</v>
      </c>
      <c r="D274" s="1" t="s">
        <v>16</v>
      </c>
      <c r="E274" s="1">
        <v>3</v>
      </c>
      <c r="F274" s="1">
        <v>114</v>
      </c>
      <c r="G274" s="1">
        <v>0</v>
      </c>
      <c r="H274" s="1">
        <v>0</v>
      </c>
      <c r="I274" s="1">
        <v>6.84</v>
      </c>
      <c r="J274" s="1">
        <v>7.6</v>
      </c>
      <c r="K274" s="1">
        <v>128.44</v>
      </c>
      <c r="M274">
        <f t="shared" si="4"/>
        <v>0.06</v>
      </c>
    </row>
    <row r="275" spans="1:13" x14ac:dyDescent="0.4">
      <c r="A275" s="1" t="s">
        <v>208</v>
      </c>
      <c r="B275" s="1" t="s">
        <v>219</v>
      </c>
      <c r="C275" s="1" t="s">
        <v>68</v>
      </c>
      <c r="D275" s="1" t="s">
        <v>16</v>
      </c>
      <c r="E275" s="1">
        <v>2</v>
      </c>
      <c r="F275" s="1">
        <v>76</v>
      </c>
      <c r="G275" s="1">
        <v>0</v>
      </c>
      <c r="H275" s="1">
        <v>0</v>
      </c>
      <c r="I275" s="1">
        <v>4.5599999999999996</v>
      </c>
      <c r="J275" s="1">
        <v>7.6</v>
      </c>
      <c r="K275" s="1">
        <v>88.16</v>
      </c>
      <c r="M275">
        <f t="shared" si="4"/>
        <v>0.06</v>
      </c>
    </row>
    <row r="276" spans="1:13" x14ac:dyDescent="0.4">
      <c r="A276" s="1" t="s">
        <v>208</v>
      </c>
      <c r="B276" s="1" t="s">
        <v>220</v>
      </c>
      <c r="C276" s="1" t="s">
        <v>68</v>
      </c>
      <c r="D276" s="1" t="s">
        <v>16</v>
      </c>
      <c r="E276" s="1">
        <v>1</v>
      </c>
      <c r="F276" s="1">
        <v>45</v>
      </c>
      <c r="G276" s="1">
        <v>0</v>
      </c>
      <c r="H276" s="1">
        <v>0</v>
      </c>
      <c r="I276" s="1">
        <v>2.7</v>
      </c>
      <c r="J276" s="1">
        <v>4.5</v>
      </c>
      <c r="K276" s="1">
        <v>52.2</v>
      </c>
      <c r="M276">
        <f t="shared" si="4"/>
        <v>6.0000000000000005E-2</v>
      </c>
    </row>
    <row r="277" spans="1:13" x14ac:dyDescent="0.4">
      <c r="A277" s="1" t="s">
        <v>208</v>
      </c>
      <c r="B277" s="1" t="s">
        <v>221</v>
      </c>
      <c r="C277" s="1" t="s">
        <v>68</v>
      </c>
      <c r="D277" s="1" t="s">
        <v>16</v>
      </c>
      <c r="E277" s="1">
        <v>7</v>
      </c>
      <c r="F277" s="1">
        <v>266</v>
      </c>
      <c r="G277" s="1">
        <v>0</v>
      </c>
      <c r="H277" s="1">
        <v>0</v>
      </c>
      <c r="I277" s="1">
        <v>15.96</v>
      </c>
      <c r="J277" s="1">
        <v>22.8</v>
      </c>
      <c r="K277" s="1">
        <v>304.76</v>
      </c>
      <c r="M277">
        <f t="shared" si="4"/>
        <v>6.0000000000000005E-2</v>
      </c>
    </row>
    <row r="278" spans="1:13" x14ac:dyDescent="0.4">
      <c r="A278" s="1" t="s">
        <v>208</v>
      </c>
      <c r="B278" s="1" t="s">
        <v>221</v>
      </c>
      <c r="C278" s="1" t="s">
        <v>88</v>
      </c>
      <c r="D278" s="1" t="s">
        <v>16</v>
      </c>
      <c r="E278" s="1">
        <v>1</v>
      </c>
      <c r="F278" s="1">
        <v>78</v>
      </c>
      <c r="G278" s="1">
        <v>0</v>
      </c>
      <c r="H278" s="1">
        <v>0</v>
      </c>
      <c r="I278" s="1">
        <v>4.68</v>
      </c>
      <c r="J278" s="1">
        <v>7.8</v>
      </c>
      <c r="K278" s="1">
        <v>90.48</v>
      </c>
      <c r="M278">
        <f t="shared" si="4"/>
        <v>0.06</v>
      </c>
    </row>
    <row r="279" spans="1:13" x14ac:dyDescent="0.4">
      <c r="A279" s="1" t="s">
        <v>208</v>
      </c>
      <c r="B279" s="1" t="s">
        <v>221</v>
      </c>
      <c r="C279" s="1" t="s">
        <v>91</v>
      </c>
      <c r="D279" s="1" t="s">
        <v>16</v>
      </c>
      <c r="E279" s="1">
        <v>2</v>
      </c>
      <c r="F279" s="1">
        <v>116</v>
      </c>
      <c r="G279" s="1">
        <v>0</v>
      </c>
      <c r="H279" s="1">
        <v>0</v>
      </c>
      <c r="I279" s="1">
        <v>6.96</v>
      </c>
      <c r="J279" s="1">
        <v>11.6</v>
      </c>
      <c r="K279" s="1">
        <v>134.56</v>
      </c>
      <c r="M279">
        <f t="shared" si="4"/>
        <v>0.06</v>
      </c>
    </row>
    <row r="280" spans="1:13" x14ac:dyDescent="0.4">
      <c r="A280" s="1" t="s">
        <v>208</v>
      </c>
      <c r="B280" s="1" t="s">
        <v>222</v>
      </c>
      <c r="C280" s="1" t="s">
        <v>68</v>
      </c>
      <c r="D280" s="1" t="s">
        <v>16</v>
      </c>
      <c r="E280" s="1">
        <v>1</v>
      </c>
      <c r="F280" s="1">
        <v>38</v>
      </c>
      <c r="G280" s="1">
        <v>0</v>
      </c>
      <c r="H280" s="1">
        <v>0</v>
      </c>
      <c r="I280" s="1">
        <v>2.2799999999999998</v>
      </c>
      <c r="J280" s="1">
        <v>0</v>
      </c>
      <c r="K280" s="1">
        <v>40.28</v>
      </c>
      <c r="M280">
        <f t="shared" si="4"/>
        <v>0.06</v>
      </c>
    </row>
    <row r="281" spans="1:13" x14ac:dyDescent="0.4">
      <c r="A281" s="1" t="s">
        <v>208</v>
      </c>
      <c r="B281" s="1" t="s">
        <v>223</v>
      </c>
      <c r="C281" s="1" t="s">
        <v>68</v>
      </c>
      <c r="D281" s="1" t="s">
        <v>16</v>
      </c>
      <c r="E281" s="1">
        <v>1</v>
      </c>
      <c r="F281" s="1">
        <v>38</v>
      </c>
      <c r="G281" s="1">
        <v>-7.2</v>
      </c>
      <c r="H281" s="1">
        <v>0</v>
      </c>
      <c r="I281" s="1">
        <v>1.85</v>
      </c>
      <c r="J281" s="1">
        <v>3.08</v>
      </c>
      <c r="K281" s="1">
        <v>35.729999999999997</v>
      </c>
      <c r="M281" s="7">
        <f t="shared" si="4"/>
        <v>6.0064935064935064E-2</v>
      </c>
    </row>
    <row r="282" spans="1:13" x14ac:dyDescent="0.4">
      <c r="A282" s="1" t="s">
        <v>208</v>
      </c>
      <c r="B282" s="1" t="s">
        <v>224</v>
      </c>
      <c r="C282" s="1" t="s">
        <v>68</v>
      </c>
      <c r="D282" s="1" t="s">
        <v>16</v>
      </c>
      <c r="E282" s="1">
        <v>14</v>
      </c>
      <c r="F282" s="1">
        <v>784</v>
      </c>
      <c r="G282" s="1">
        <v>-5.83</v>
      </c>
      <c r="H282" s="1">
        <v>0</v>
      </c>
      <c r="I282" s="1">
        <v>46.69</v>
      </c>
      <c r="J282" s="1">
        <v>77.819999999999993</v>
      </c>
      <c r="K282" s="1">
        <v>902.68</v>
      </c>
      <c r="M282">
        <f t="shared" si="4"/>
        <v>5.9999742986750967E-2</v>
      </c>
    </row>
    <row r="283" spans="1:13" x14ac:dyDescent="0.4">
      <c r="A283" s="1" t="s">
        <v>208</v>
      </c>
      <c r="B283" s="1" t="s">
        <v>225</v>
      </c>
      <c r="C283" s="1" t="s">
        <v>68</v>
      </c>
      <c r="D283" s="1" t="s">
        <v>16</v>
      </c>
      <c r="E283" s="1">
        <v>3</v>
      </c>
      <c r="F283" s="1">
        <v>144</v>
      </c>
      <c r="G283" s="1">
        <v>-4.8</v>
      </c>
      <c r="H283" s="1">
        <v>0</v>
      </c>
      <c r="I283" s="1">
        <v>8.35</v>
      </c>
      <c r="J283" s="1">
        <v>9.1199999999999992</v>
      </c>
      <c r="K283" s="1">
        <v>156.66999999999999</v>
      </c>
      <c r="M283" s="7">
        <f t="shared" si="4"/>
        <v>5.9985632183908046E-2</v>
      </c>
    </row>
    <row r="284" spans="1:13" x14ac:dyDescent="0.4">
      <c r="A284" s="1" t="s">
        <v>208</v>
      </c>
      <c r="B284" s="1" t="s">
        <v>225</v>
      </c>
      <c r="C284" s="1" t="s">
        <v>88</v>
      </c>
      <c r="D284" s="1" t="s">
        <v>16</v>
      </c>
      <c r="E284" s="1">
        <v>1</v>
      </c>
      <c r="F284" s="1">
        <v>80</v>
      </c>
      <c r="G284" s="1">
        <v>0</v>
      </c>
      <c r="H284" s="1">
        <v>0</v>
      </c>
      <c r="I284" s="1">
        <v>4.8</v>
      </c>
      <c r="J284" s="1">
        <v>0</v>
      </c>
      <c r="K284" s="1">
        <v>84.8</v>
      </c>
      <c r="M284">
        <f t="shared" si="4"/>
        <v>0.06</v>
      </c>
    </row>
    <row r="285" spans="1:13" x14ac:dyDescent="0.4">
      <c r="A285" s="1" t="s">
        <v>208</v>
      </c>
      <c r="B285" s="1" t="s">
        <v>225</v>
      </c>
      <c r="C285" s="1" t="s">
        <v>91</v>
      </c>
      <c r="D285" s="1" t="s">
        <v>16</v>
      </c>
      <c r="E285" s="1">
        <v>1</v>
      </c>
      <c r="F285" s="1">
        <v>64</v>
      </c>
      <c r="G285" s="1">
        <v>0</v>
      </c>
      <c r="H285" s="1">
        <v>0</v>
      </c>
      <c r="I285" s="1">
        <v>3.84</v>
      </c>
      <c r="J285" s="1">
        <v>6.4</v>
      </c>
      <c r="K285" s="1">
        <v>74.239999999999995</v>
      </c>
      <c r="M285">
        <f t="shared" si="4"/>
        <v>0.06</v>
      </c>
    </row>
    <row r="286" spans="1:13" x14ac:dyDescent="0.4">
      <c r="A286" s="1" t="s">
        <v>208</v>
      </c>
      <c r="B286" s="1" t="s">
        <v>226</v>
      </c>
      <c r="C286" s="1" t="s">
        <v>68</v>
      </c>
      <c r="D286" s="1" t="s">
        <v>16</v>
      </c>
      <c r="E286" s="1">
        <v>3</v>
      </c>
      <c r="F286" s="1">
        <v>114</v>
      </c>
      <c r="G286" s="1">
        <v>0</v>
      </c>
      <c r="H286" s="1">
        <v>0</v>
      </c>
      <c r="I286" s="1">
        <v>6.84</v>
      </c>
      <c r="J286" s="1">
        <v>11.4</v>
      </c>
      <c r="K286" s="1">
        <v>132.24</v>
      </c>
      <c r="M286">
        <f t="shared" si="4"/>
        <v>0.06</v>
      </c>
    </row>
    <row r="287" spans="1:13" x14ac:dyDescent="0.4">
      <c r="A287" s="1" t="s">
        <v>208</v>
      </c>
      <c r="B287" s="1" t="s">
        <v>226</v>
      </c>
      <c r="C287" s="1" t="s">
        <v>91</v>
      </c>
      <c r="D287" s="1" t="s">
        <v>16</v>
      </c>
      <c r="E287" s="1">
        <v>2</v>
      </c>
      <c r="F287" s="1">
        <v>116</v>
      </c>
      <c r="G287" s="1">
        <v>0</v>
      </c>
      <c r="H287" s="1">
        <v>0</v>
      </c>
      <c r="I287" s="1">
        <v>6.96</v>
      </c>
      <c r="J287" s="1">
        <v>5.8</v>
      </c>
      <c r="K287" s="1">
        <v>128.76</v>
      </c>
      <c r="M287">
        <f t="shared" si="4"/>
        <v>0.06</v>
      </c>
    </row>
    <row r="288" spans="1:13" x14ac:dyDescent="0.4">
      <c r="A288" s="3" t="s">
        <v>227</v>
      </c>
      <c r="B288" s="3" t="s">
        <v>16</v>
      </c>
      <c r="C288" s="3" t="s">
        <v>16</v>
      </c>
      <c r="D288" s="3" t="s">
        <v>16</v>
      </c>
      <c r="E288" s="3">
        <v>70</v>
      </c>
      <c r="F288" s="3">
        <v>2680</v>
      </c>
      <c r="G288" s="3">
        <v>-31.84</v>
      </c>
      <c r="H288" s="3">
        <v>0</v>
      </c>
      <c r="I288" s="3">
        <v>158.88999999999999</v>
      </c>
      <c r="J288" s="3">
        <v>249.62</v>
      </c>
      <c r="K288" s="3">
        <v>3056.67</v>
      </c>
      <c r="M288">
        <f t="shared" si="4"/>
        <v>6.0000151048275024E-2</v>
      </c>
    </row>
    <row r="289" spans="1:13" x14ac:dyDescent="0.4">
      <c r="A289" s="1" t="s">
        <v>227</v>
      </c>
      <c r="B289" s="1" t="s">
        <v>228</v>
      </c>
      <c r="C289" s="1" t="s">
        <v>91</v>
      </c>
      <c r="D289" s="1" t="s">
        <v>16</v>
      </c>
      <c r="E289" s="1">
        <v>1</v>
      </c>
      <c r="F289" s="1">
        <v>38</v>
      </c>
      <c r="G289" s="1">
        <v>0</v>
      </c>
      <c r="H289" s="1">
        <v>0</v>
      </c>
      <c r="I289" s="1">
        <v>2.2799999999999998</v>
      </c>
      <c r="J289" s="1">
        <v>3.8</v>
      </c>
      <c r="K289" s="1">
        <v>44.08</v>
      </c>
      <c r="M289">
        <f t="shared" si="4"/>
        <v>0.06</v>
      </c>
    </row>
    <row r="290" spans="1:13" x14ac:dyDescent="0.4">
      <c r="A290" s="1" t="s">
        <v>227</v>
      </c>
      <c r="B290" s="1" t="s">
        <v>229</v>
      </c>
      <c r="C290" s="1" t="s">
        <v>88</v>
      </c>
      <c r="D290" s="1" t="s">
        <v>16</v>
      </c>
      <c r="E290" s="1">
        <v>1</v>
      </c>
      <c r="F290" s="1">
        <v>48</v>
      </c>
      <c r="G290" s="1">
        <v>0</v>
      </c>
      <c r="H290" s="1">
        <v>0</v>
      </c>
      <c r="I290" s="1">
        <v>2.88</v>
      </c>
      <c r="J290" s="1">
        <v>4.8</v>
      </c>
      <c r="K290" s="1">
        <v>55.68</v>
      </c>
      <c r="M290">
        <f t="shared" si="4"/>
        <v>0.06</v>
      </c>
    </row>
    <row r="291" spans="1:13" x14ac:dyDescent="0.4">
      <c r="A291" s="1" t="s">
        <v>227</v>
      </c>
      <c r="B291" s="1" t="s">
        <v>229</v>
      </c>
      <c r="C291" s="1" t="s">
        <v>68</v>
      </c>
      <c r="D291" s="1" t="s">
        <v>16</v>
      </c>
      <c r="E291" s="1">
        <v>3</v>
      </c>
      <c r="F291" s="1">
        <v>84</v>
      </c>
      <c r="G291" s="1">
        <v>0</v>
      </c>
      <c r="H291" s="1">
        <v>0</v>
      </c>
      <c r="I291" s="1">
        <v>5.04</v>
      </c>
      <c r="J291" s="1">
        <v>5.6</v>
      </c>
      <c r="K291" s="1">
        <v>94.64</v>
      </c>
      <c r="M291">
        <f t="shared" si="4"/>
        <v>0.06</v>
      </c>
    </row>
    <row r="292" spans="1:13" x14ac:dyDescent="0.4">
      <c r="A292" s="1" t="s">
        <v>227</v>
      </c>
      <c r="B292" s="1" t="s">
        <v>230</v>
      </c>
      <c r="C292" s="1" t="s">
        <v>68</v>
      </c>
      <c r="D292" s="1" t="s">
        <v>16</v>
      </c>
      <c r="E292" s="1">
        <v>1</v>
      </c>
      <c r="F292" s="1">
        <v>28</v>
      </c>
      <c r="G292" s="1">
        <v>0</v>
      </c>
      <c r="H292" s="1">
        <v>0</v>
      </c>
      <c r="I292" s="1">
        <v>1.68</v>
      </c>
      <c r="J292" s="1">
        <v>2.8</v>
      </c>
      <c r="K292" s="1">
        <v>32.479999999999997</v>
      </c>
      <c r="M292">
        <f t="shared" si="4"/>
        <v>0.06</v>
      </c>
    </row>
    <row r="293" spans="1:13" x14ac:dyDescent="0.4">
      <c r="A293" s="1" t="s">
        <v>227</v>
      </c>
      <c r="B293" s="1" t="s">
        <v>231</v>
      </c>
      <c r="C293" s="1" t="s">
        <v>91</v>
      </c>
      <c r="D293" s="1" t="s">
        <v>16</v>
      </c>
      <c r="E293" s="1">
        <v>2</v>
      </c>
      <c r="F293" s="1">
        <v>76</v>
      </c>
      <c r="G293" s="1">
        <v>-7.73</v>
      </c>
      <c r="H293" s="1">
        <v>0</v>
      </c>
      <c r="I293" s="1">
        <v>4.0999999999999996</v>
      </c>
      <c r="J293" s="1">
        <v>6.83</v>
      </c>
      <c r="K293" s="1">
        <v>79.19</v>
      </c>
      <c r="M293" s="7">
        <f t="shared" si="4"/>
        <v>6.00556613446609E-2</v>
      </c>
    </row>
    <row r="294" spans="1:13" x14ac:dyDescent="0.4">
      <c r="A294" s="1" t="s">
        <v>227</v>
      </c>
      <c r="B294" s="1" t="s">
        <v>231</v>
      </c>
      <c r="C294" s="1" t="s">
        <v>68</v>
      </c>
      <c r="D294" s="1" t="s">
        <v>16</v>
      </c>
      <c r="E294" s="1">
        <v>10</v>
      </c>
      <c r="F294" s="1">
        <v>280</v>
      </c>
      <c r="G294" s="1">
        <v>-8.5399999999999991</v>
      </c>
      <c r="H294" s="1">
        <v>0</v>
      </c>
      <c r="I294" s="1">
        <v>16.29</v>
      </c>
      <c r="J294" s="1">
        <v>27.15</v>
      </c>
      <c r="K294" s="1">
        <v>314.89</v>
      </c>
      <c r="M294" s="7">
        <f t="shared" si="4"/>
        <v>6.0008841081558982E-2</v>
      </c>
    </row>
    <row r="295" spans="1:13" x14ac:dyDescent="0.4">
      <c r="A295" s="1" t="s">
        <v>227</v>
      </c>
      <c r="B295" s="1" t="s">
        <v>232</v>
      </c>
      <c r="C295" s="1" t="s">
        <v>68</v>
      </c>
      <c r="D295" s="1" t="s">
        <v>16</v>
      </c>
      <c r="E295" s="1">
        <v>14</v>
      </c>
      <c r="F295" s="1">
        <v>392</v>
      </c>
      <c r="G295" s="1">
        <v>0</v>
      </c>
      <c r="H295" s="1">
        <v>0</v>
      </c>
      <c r="I295" s="1">
        <v>23.52</v>
      </c>
      <c r="J295" s="1">
        <v>39.200000000000003</v>
      </c>
      <c r="K295" s="1">
        <v>454.72</v>
      </c>
      <c r="M295">
        <f t="shared" si="4"/>
        <v>0.06</v>
      </c>
    </row>
    <row r="296" spans="1:13" x14ac:dyDescent="0.4">
      <c r="A296" s="1" t="s">
        <v>227</v>
      </c>
      <c r="B296" s="1" t="s">
        <v>232</v>
      </c>
      <c r="C296" s="1" t="s">
        <v>88</v>
      </c>
      <c r="D296" s="1" t="s">
        <v>16</v>
      </c>
      <c r="E296" s="1">
        <v>2</v>
      </c>
      <c r="F296" s="1">
        <v>96</v>
      </c>
      <c r="G296" s="1">
        <v>0</v>
      </c>
      <c r="H296" s="1">
        <v>0</v>
      </c>
      <c r="I296" s="1">
        <v>5.76</v>
      </c>
      <c r="J296" s="1">
        <v>9.6</v>
      </c>
      <c r="K296" s="1">
        <v>111.36</v>
      </c>
      <c r="M296">
        <f t="shared" si="4"/>
        <v>0.06</v>
      </c>
    </row>
    <row r="297" spans="1:13" x14ac:dyDescent="0.4">
      <c r="A297" s="1" t="s">
        <v>227</v>
      </c>
      <c r="B297" s="1" t="s">
        <v>232</v>
      </c>
      <c r="C297" s="1" t="s">
        <v>91</v>
      </c>
      <c r="D297" s="1" t="s">
        <v>16</v>
      </c>
      <c r="E297" s="1">
        <v>3</v>
      </c>
      <c r="F297" s="1">
        <v>114</v>
      </c>
      <c r="G297" s="1">
        <v>0</v>
      </c>
      <c r="H297" s="1">
        <v>0</v>
      </c>
      <c r="I297" s="1">
        <v>6.84</v>
      </c>
      <c r="J297" s="1">
        <v>11.4</v>
      </c>
      <c r="K297" s="1">
        <v>132.24</v>
      </c>
      <c r="M297">
        <f t="shared" si="4"/>
        <v>0.06</v>
      </c>
    </row>
    <row r="298" spans="1:13" x14ac:dyDescent="0.4">
      <c r="A298" s="1" t="s">
        <v>227</v>
      </c>
      <c r="B298" s="1" t="s">
        <v>233</v>
      </c>
      <c r="C298" s="1" t="s">
        <v>91</v>
      </c>
      <c r="D298" s="1" t="s">
        <v>16</v>
      </c>
      <c r="E298" s="1">
        <v>1</v>
      </c>
      <c r="F298" s="1">
        <v>38</v>
      </c>
      <c r="G298" s="1">
        <v>0</v>
      </c>
      <c r="H298" s="1">
        <v>0</v>
      </c>
      <c r="I298" s="1">
        <v>2.2799999999999998</v>
      </c>
      <c r="J298" s="1">
        <v>3.8</v>
      </c>
      <c r="K298" s="1">
        <v>44.08</v>
      </c>
      <c r="M298">
        <f t="shared" si="4"/>
        <v>0.06</v>
      </c>
    </row>
    <row r="299" spans="1:13" x14ac:dyDescent="0.4">
      <c r="A299" s="1" t="s">
        <v>227</v>
      </c>
      <c r="B299" s="1" t="s">
        <v>233</v>
      </c>
      <c r="C299" s="1" t="s">
        <v>68</v>
      </c>
      <c r="D299" s="1" t="s">
        <v>16</v>
      </c>
      <c r="E299" s="1">
        <v>1</v>
      </c>
      <c r="F299" s="1">
        <v>28</v>
      </c>
      <c r="G299" s="1">
        <v>0</v>
      </c>
      <c r="H299" s="1">
        <v>0</v>
      </c>
      <c r="I299" s="1">
        <v>1.68</v>
      </c>
      <c r="J299" s="1">
        <v>2.8</v>
      </c>
      <c r="K299" s="1">
        <v>32.479999999999997</v>
      </c>
      <c r="M299">
        <f t="shared" si="4"/>
        <v>0.06</v>
      </c>
    </row>
    <row r="300" spans="1:13" x14ac:dyDescent="0.4">
      <c r="A300" s="1" t="s">
        <v>227</v>
      </c>
      <c r="B300" s="1" t="s">
        <v>234</v>
      </c>
      <c r="C300" s="1" t="s">
        <v>68</v>
      </c>
      <c r="D300" s="1" t="s">
        <v>16</v>
      </c>
      <c r="E300" s="1">
        <v>5</v>
      </c>
      <c r="F300" s="1">
        <v>140</v>
      </c>
      <c r="G300" s="1">
        <v>0</v>
      </c>
      <c r="H300" s="1">
        <v>0</v>
      </c>
      <c r="I300" s="1">
        <v>8.4</v>
      </c>
      <c r="J300" s="1">
        <v>14</v>
      </c>
      <c r="K300" s="1">
        <v>162.4</v>
      </c>
      <c r="M300">
        <f t="shared" si="4"/>
        <v>6.0000000000000005E-2</v>
      </c>
    </row>
    <row r="301" spans="1:13" x14ac:dyDescent="0.4">
      <c r="A301" s="1" t="s">
        <v>227</v>
      </c>
      <c r="B301" s="1" t="s">
        <v>234</v>
      </c>
      <c r="C301" s="1" t="s">
        <v>91</v>
      </c>
      <c r="D301" s="1" t="s">
        <v>16</v>
      </c>
      <c r="E301" s="1">
        <v>4</v>
      </c>
      <c r="F301" s="1">
        <v>152</v>
      </c>
      <c r="G301" s="1">
        <v>0</v>
      </c>
      <c r="H301" s="1">
        <v>0</v>
      </c>
      <c r="I301" s="1">
        <v>9.1199999999999992</v>
      </c>
      <c r="J301" s="1">
        <v>7.6</v>
      </c>
      <c r="K301" s="1">
        <v>168.72</v>
      </c>
      <c r="M301">
        <f t="shared" si="4"/>
        <v>0.06</v>
      </c>
    </row>
    <row r="302" spans="1:13" x14ac:dyDescent="0.4">
      <c r="A302" s="1" t="s">
        <v>227</v>
      </c>
      <c r="B302" s="1" t="s">
        <v>235</v>
      </c>
      <c r="C302" s="1" t="s">
        <v>68</v>
      </c>
      <c r="D302" s="1" t="s">
        <v>16</v>
      </c>
      <c r="E302" s="1">
        <v>1</v>
      </c>
      <c r="F302" s="1">
        <v>28</v>
      </c>
      <c r="G302" s="1">
        <v>0</v>
      </c>
      <c r="H302" s="1">
        <v>0</v>
      </c>
      <c r="I302" s="1">
        <v>1.68</v>
      </c>
      <c r="J302" s="1">
        <v>2.8</v>
      </c>
      <c r="K302" s="1">
        <v>32.479999999999997</v>
      </c>
      <c r="M302">
        <f t="shared" si="4"/>
        <v>0.06</v>
      </c>
    </row>
    <row r="303" spans="1:13" x14ac:dyDescent="0.4">
      <c r="A303" s="1" t="s">
        <v>227</v>
      </c>
      <c r="B303" s="1" t="s">
        <v>236</v>
      </c>
      <c r="C303" s="1" t="s">
        <v>88</v>
      </c>
      <c r="D303" s="1" t="s">
        <v>16</v>
      </c>
      <c r="E303" s="1">
        <v>3</v>
      </c>
      <c r="F303" s="1">
        <v>294</v>
      </c>
      <c r="G303" s="1">
        <v>0</v>
      </c>
      <c r="H303" s="1">
        <v>0</v>
      </c>
      <c r="I303" s="1">
        <v>17.64</v>
      </c>
      <c r="J303" s="1">
        <v>29.4</v>
      </c>
      <c r="K303" s="1">
        <v>341.04</v>
      </c>
      <c r="M303">
        <f t="shared" si="4"/>
        <v>6.0000000000000005E-2</v>
      </c>
    </row>
    <row r="304" spans="1:13" x14ac:dyDescent="0.4">
      <c r="A304" s="1" t="s">
        <v>227</v>
      </c>
      <c r="B304" s="1" t="s">
        <v>236</v>
      </c>
      <c r="C304" s="1" t="s">
        <v>68</v>
      </c>
      <c r="D304" s="1" t="s">
        <v>16</v>
      </c>
      <c r="E304" s="1">
        <v>8</v>
      </c>
      <c r="F304" s="1">
        <v>464</v>
      </c>
      <c r="G304" s="1">
        <v>-15.57</v>
      </c>
      <c r="H304" s="1">
        <v>0</v>
      </c>
      <c r="I304" s="1">
        <v>26.91</v>
      </c>
      <c r="J304" s="1">
        <v>44.84</v>
      </c>
      <c r="K304" s="1">
        <v>520.17999999999995</v>
      </c>
      <c r="M304" s="7">
        <f t="shared" si="4"/>
        <v>6.0009366010302607E-2</v>
      </c>
    </row>
    <row r="305" spans="1:13" x14ac:dyDescent="0.4">
      <c r="A305" s="1" t="s">
        <v>227</v>
      </c>
      <c r="B305" s="1" t="s">
        <v>236</v>
      </c>
      <c r="C305" s="1" t="s">
        <v>91</v>
      </c>
      <c r="D305" s="1" t="s">
        <v>16</v>
      </c>
      <c r="E305" s="1">
        <v>1</v>
      </c>
      <c r="F305" s="1">
        <v>78</v>
      </c>
      <c r="G305" s="1">
        <v>0</v>
      </c>
      <c r="H305" s="1">
        <v>0</v>
      </c>
      <c r="I305" s="1">
        <v>4.68</v>
      </c>
      <c r="J305" s="1">
        <v>7.8</v>
      </c>
      <c r="K305" s="1">
        <v>90.48</v>
      </c>
      <c r="M305">
        <f t="shared" si="4"/>
        <v>0.06</v>
      </c>
    </row>
    <row r="306" spans="1:13" x14ac:dyDescent="0.4">
      <c r="A306" s="1" t="s">
        <v>227</v>
      </c>
      <c r="B306" s="1" t="s">
        <v>237</v>
      </c>
      <c r="C306" s="1" t="s">
        <v>91</v>
      </c>
      <c r="D306" s="1" t="s">
        <v>16</v>
      </c>
      <c r="E306" s="1">
        <v>3</v>
      </c>
      <c r="F306" s="1">
        <v>114</v>
      </c>
      <c r="G306" s="1">
        <v>0</v>
      </c>
      <c r="H306" s="1">
        <v>0</v>
      </c>
      <c r="I306" s="1">
        <v>6.84</v>
      </c>
      <c r="J306" s="1">
        <v>11.4</v>
      </c>
      <c r="K306" s="1">
        <v>132.24</v>
      </c>
      <c r="M306">
        <f t="shared" si="4"/>
        <v>0.06</v>
      </c>
    </row>
    <row r="307" spans="1:13" x14ac:dyDescent="0.4">
      <c r="A307" s="1" t="s">
        <v>227</v>
      </c>
      <c r="B307" s="1" t="s">
        <v>237</v>
      </c>
      <c r="C307" s="1" t="s">
        <v>88</v>
      </c>
      <c r="D307" s="1" t="s">
        <v>16</v>
      </c>
      <c r="E307" s="1">
        <v>1</v>
      </c>
      <c r="F307" s="1">
        <v>48</v>
      </c>
      <c r="G307" s="1">
        <v>0</v>
      </c>
      <c r="H307" s="1">
        <v>0</v>
      </c>
      <c r="I307" s="1">
        <v>2.88</v>
      </c>
      <c r="J307" s="1">
        <v>0</v>
      </c>
      <c r="K307" s="1">
        <v>50.88</v>
      </c>
      <c r="M307">
        <f t="shared" si="4"/>
        <v>0.06</v>
      </c>
    </row>
    <row r="308" spans="1:13" x14ac:dyDescent="0.4">
      <c r="A308" s="1" t="s">
        <v>227</v>
      </c>
      <c r="B308" s="1" t="s">
        <v>237</v>
      </c>
      <c r="C308" s="1" t="s">
        <v>68</v>
      </c>
      <c r="D308" s="1" t="s">
        <v>16</v>
      </c>
      <c r="E308" s="1">
        <v>5</v>
      </c>
      <c r="F308" s="1">
        <v>140</v>
      </c>
      <c r="G308" s="1">
        <v>0</v>
      </c>
      <c r="H308" s="1">
        <v>0</v>
      </c>
      <c r="I308" s="1">
        <v>8.4</v>
      </c>
      <c r="J308" s="1">
        <v>14</v>
      </c>
      <c r="K308" s="1">
        <v>162.4</v>
      </c>
      <c r="M308">
        <f t="shared" si="4"/>
        <v>6.0000000000000005E-2</v>
      </c>
    </row>
    <row r="309" spans="1:13" x14ac:dyDescent="0.4">
      <c r="A309" s="3" t="s">
        <v>238</v>
      </c>
      <c r="B309" s="3" t="s">
        <v>16</v>
      </c>
      <c r="C309" s="3" t="s">
        <v>16</v>
      </c>
      <c r="D309" s="3" t="s">
        <v>16</v>
      </c>
      <c r="E309" s="3">
        <v>597</v>
      </c>
      <c r="F309" s="3">
        <v>78052.600000000006</v>
      </c>
      <c r="G309" s="3">
        <v>-908.27</v>
      </c>
      <c r="H309" s="3">
        <v>0</v>
      </c>
      <c r="I309" s="3">
        <v>4628.66</v>
      </c>
      <c r="J309" s="3">
        <v>6628.25</v>
      </c>
      <c r="K309" s="3">
        <v>88401.24</v>
      </c>
      <c r="M309">
        <f t="shared" si="4"/>
        <v>6.0000002592543088E-2</v>
      </c>
    </row>
    <row r="310" spans="1:13" x14ac:dyDescent="0.4">
      <c r="A310" s="1" t="s">
        <v>238</v>
      </c>
      <c r="B310" s="1" t="s">
        <v>239</v>
      </c>
      <c r="C310" s="1" t="s">
        <v>16</v>
      </c>
      <c r="D310" s="1" t="s">
        <v>16</v>
      </c>
      <c r="E310" s="1">
        <v>65</v>
      </c>
      <c r="F310" s="1">
        <v>7995</v>
      </c>
      <c r="G310" s="1">
        <v>-103.85</v>
      </c>
      <c r="H310" s="1">
        <v>0</v>
      </c>
      <c r="I310" s="1">
        <v>473.47</v>
      </c>
      <c r="J310" s="1">
        <v>727.62</v>
      </c>
      <c r="K310" s="1">
        <v>9092.23</v>
      </c>
      <c r="M310">
        <f t="shared" si="4"/>
        <v>6.0000126724241723E-2</v>
      </c>
    </row>
    <row r="311" spans="1:13" x14ac:dyDescent="0.4">
      <c r="A311" s="1" t="s">
        <v>238</v>
      </c>
      <c r="B311" s="1" t="s">
        <v>240</v>
      </c>
      <c r="C311" s="1" t="s">
        <v>16</v>
      </c>
      <c r="D311" s="1" t="s">
        <v>16</v>
      </c>
      <c r="E311" s="1">
        <v>16</v>
      </c>
      <c r="F311" s="1">
        <v>2528</v>
      </c>
      <c r="G311" s="1">
        <v>0</v>
      </c>
      <c r="H311" s="1">
        <v>0</v>
      </c>
      <c r="I311" s="1">
        <v>151.68</v>
      </c>
      <c r="J311" s="1">
        <v>173.8</v>
      </c>
      <c r="K311" s="1">
        <v>2853.48</v>
      </c>
      <c r="M311">
        <f t="shared" si="4"/>
        <v>6.0000000000000005E-2</v>
      </c>
    </row>
    <row r="312" spans="1:13" x14ac:dyDescent="0.4">
      <c r="A312" s="1" t="s">
        <v>238</v>
      </c>
      <c r="B312" s="1" t="s">
        <v>241</v>
      </c>
      <c r="C312" s="1" t="s">
        <v>16</v>
      </c>
      <c r="D312" s="1" t="s">
        <v>16</v>
      </c>
      <c r="E312" s="1">
        <v>178</v>
      </c>
      <c r="F312" s="1">
        <v>38804</v>
      </c>
      <c r="G312" s="1">
        <v>-558.69000000000005</v>
      </c>
      <c r="H312" s="1">
        <v>0</v>
      </c>
      <c r="I312" s="1">
        <v>2294.7199999999998</v>
      </c>
      <c r="J312" s="1">
        <v>3287.55</v>
      </c>
      <c r="K312" s="1">
        <v>43827.58</v>
      </c>
      <c r="M312">
        <f t="shared" si="4"/>
        <v>6.0000036605795587E-2</v>
      </c>
    </row>
    <row r="313" spans="1:13" x14ac:dyDescent="0.4">
      <c r="A313" s="1" t="s">
        <v>238</v>
      </c>
      <c r="B313" s="1" t="s">
        <v>242</v>
      </c>
      <c r="C313" s="1" t="s">
        <v>16</v>
      </c>
      <c r="D313" s="1" t="s">
        <v>16</v>
      </c>
      <c r="E313" s="1">
        <v>1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3" x14ac:dyDescent="0.4">
      <c r="A314" s="1" t="s">
        <v>238</v>
      </c>
      <c r="B314" s="1" t="s">
        <v>243</v>
      </c>
      <c r="C314" s="1" t="s">
        <v>16</v>
      </c>
      <c r="D314" s="1" t="s">
        <v>16</v>
      </c>
      <c r="E314" s="1">
        <v>16</v>
      </c>
      <c r="F314" s="1">
        <v>4608</v>
      </c>
      <c r="G314" s="1">
        <v>-177.69</v>
      </c>
      <c r="H314" s="1">
        <v>0</v>
      </c>
      <c r="I314" s="1">
        <v>265.82</v>
      </c>
      <c r="J314" s="1">
        <v>395.33</v>
      </c>
      <c r="K314" s="1">
        <v>5091.46</v>
      </c>
      <c r="M314">
        <f t="shared" si="4"/>
        <v>6.0000316004974817E-2</v>
      </c>
    </row>
    <row r="315" spans="1:13" x14ac:dyDescent="0.4">
      <c r="A315" s="1" t="s">
        <v>238</v>
      </c>
      <c r="B315" s="1" t="s">
        <v>244</v>
      </c>
      <c r="C315" s="1" t="s">
        <v>16</v>
      </c>
      <c r="D315" s="1" t="s">
        <v>16</v>
      </c>
      <c r="E315" s="1">
        <v>1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3" x14ac:dyDescent="0.4">
      <c r="A316" s="1" t="s">
        <v>238</v>
      </c>
      <c r="B316" s="1" t="s">
        <v>245</v>
      </c>
      <c r="C316" s="1" t="s">
        <v>16</v>
      </c>
      <c r="D316" s="1" t="s">
        <v>16</v>
      </c>
      <c r="E316" s="1">
        <v>3</v>
      </c>
      <c r="F316" s="1">
        <v>984</v>
      </c>
      <c r="G316" s="1">
        <v>0</v>
      </c>
      <c r="H316" s="1">
        <v>0</v>
      </c>
      <c r="I316" s="1">
        <v>59.04</v>
      </c>
      <c r="J316" s="1">
        <v>98.4</v>
      </c>
      <c r="K316" s="1">
        <v>1141.44</v>
      </c>
      <c r="M316">
        <f t="shared" si="4"/>
        <v>0.06</v>
      </c>
    </row>
    <row r="317" spans="1:13" x14ac:dyDescent="0.4">
      <c r="A317" s="1" t="s">
        <v>238</v>
      </c>
      <c r="B317" s="1" t="s">
        <v>246</v>
      </c>
      <c r="C317" s="1" t="s">
        <v>16</v>
      </c>
      <c r="D317" s="1" t="s">
        <v>16</v>
      </c>
      <c r="E317" s="1">
        <v>15</v>
      </c>
      <c r="F317" s="1">
        <v>3270</v>
      </c>
      <c r="G317" s="1">
        <v>0</v>
      </c>
      <c r="H317" s="1">
        <v>0</v>
      </c>
      <c r="I317" s="1">
        <v>196.2</v>
      </c>
      <c r="J317" s="1">
        <v>196.2</v>
      </c>
      <c r="K317" s="1">
        <v>3662.4</v>
      </c>
      <c r="M317">
        <f t="shared" si="4"/>
        <v>0.06</v>
      </c>
    </row>
    <row r="318" spans="1:13" x14ac:dyDescent="0.4">
      <c r="A318" s="1" t="s">
        <v>238</v>
      </c>
      <c r="B318" s="1" t="s">
        <v>247</v>
      </c>
      <c r="C318" s="1" t="s">
        <v>16</v>
      </c>
      <c r="D318" s="1" t="s">
        <v>16</v>
      </c>
      <c r="E318" s="1">
        <v>2</v>
      </c>
      <c r="F318" s="1">
        <v>216</v>
      </c>
      <c r="G318" s="1">
        <v>0</v>
      </c>
      <c r="H318" s="1">
        <v>0</v>
      </c>
      <c r="I318" s="1">
        <v>12.96</v>
      </c>
      <c r="J318" s="1">
        <v>21.6</v>
      </c>
      <c r="K318" s="1">
        <v>250.56</v>
      </c>
      <c r="M318">
        <f t="shared" si="4"/>
        <v>6.0000000000000005E-2</v>
      </c>
    </row>
    <row r="319" spans="1:13" x14ac:dyDescent="0.4">
      <c r="A319" s="1" t="s">
        <v>238</v>
      </c>
      <c r="B319" s="1" t="s">
        <v>248</v>
      </c>
      <c r="C319" s="1" t="s">
        <v>16</v>
      </c>
      <c r="D319" s="1" t="s">
        <v>16</v>
      </c>
      <c r="E319" s="1">
        <v>103</v>
      </c>
      <c r="F319" s="1">
        <v>10122</v>
      </c>
      <c r="G319" s="1">
        <v>-68.040000000000006</v>
      </c>
      <c r="H319" s="1">
        <v>0</v>
      </c>
      <c r="I319" s="1">
        <v>603.24</v>
      </c>
      <c r="J319" s="1">
        <v>780</v>
      </c>
      <c r="K319" s="1">
        <v>11437.19</v>
      </c>
      <c r="M319">
        <f t="shared" si="4"/>
        <v>6.0000238711910535E-2</v>
      </c>
    </row>
    <row r="320" spans="1:13" x14ac:dyDescent="0.4">
      <c r="A320" s="1" t="s">
        <v>238</v>
      </c>
      <c r="B320" s="1" t="s">
        <v>249</v>
      </c>
      <c r="C320" s="1" t="s">
        <v>16</v>
      </c>
      <c r="D320" s="1" t="s">
        <v>16</v>
      </c>
      <c r="E320" s="1">
        <v>196</v>
      </c>
      <c r="F320" s="1">
        <v>9408</v>
      </c>
      <c r="G320" s="1">
        <v>0</v>
      </c>
      <c r="H320" s="1">
        <v>0</v>
      </c>
      <c r="I320" s="1">
        <v>564.48</v>
      </c>
      <c r="J320" s="1">
        <v>936</v>
      </c>
      <c r="K320" s="1">
        <v>10908.48</v>
      </c>
      <c r="M320">
        <f t="shared" si="4"/>
        <v>6.0000000000000005E-2</v>
      </c>
    </row>
    <row r="321" spans="1:13" x14ac:dyDescent="0.4">
      <c r="A321" s="1" t="s">
        <v>238</v>
      </c>
      <c r="B321" s="1" t="s">
        <v>250</v>
      </c>
      <c r="C321" s="1" t="s">
        <v>16</v>
      </c>
      <c r="D321" s="1" t="s">
        <v>16</v>
      </c>
      <c r="E321" s="1">
        <v>1</v>
      </c>
      <c r="F321" s="1">
        <v>117.6</v>
      </c>
      <c r="G321" s="1">
        <v>0</v>
      </c>
      <c r="H321" s="1">
        <v>0</v>
      </c>
      <c r="I321" s="1">
        <v>7.06</v>
      </c>
      <c r="J321" s="1">
        <v>11.76</v>
      </c>
      <c r="K321" s="1">
        <v>136.41999999999999</v>
      </c>
      <c r="M321" s="7">
        <f t="shared" si="4"/>
        <v>6.003401360544218E-2</v>
      </c>
    </row>
    <row r="322" spans="1:13" x14ac:dyDescent="0.4">
      <c r="A322" s="3" t="s">
        <v>251</v>
      </c>
      <c r="B322" s="3" t="s">
        <v>16</v>
      </c>
      <c r="C322" s="3" t="s">
        <v>16</v>
      </c>
      <c r="D322" s="3" t="s">
        <v>16</v>
      </c>
      <c r="E322" s="3">
        <v>144</v>
      </c>
      <c r="F322" s="3">
        <v>4805</v>
      </c>
      <c r="G322" s="3">
        <v>-71.22</v>
      </c>
      <c r="H322" s="3">
        <v>0</v>
      </c>
      <c r="I322" s="3">
        <v>284.02999999999997</v>
      </c>
      <c r="J322" s="3">
        <v>458.08</v>
      </c>
      <c r="K322" s="3">
        <v>5475.89</v>
      </c>
      <c r="M322" s="7">
        <f t="shared" si="4"/>
        <v>6.000067599254718E-2</v>
      </c>
    </row>
    <row r="323" spans="1:13" x14ac:dyDescent="0.4">
      <c r="A323" s="1" t="s">
        <v>251</v>
      </c>
      <c r="B323" s="1" t="s">
        <v>252</v>
      </c>
      <c r="C323" s="1" t="s">
        <v>68</v>
      </c>
      <c r="D323" s="1" t="s">
        <v>16</v>
      </c>
      <c r="E323" s="1">
        <v>2</v>
      </c>
      <c r="F323" s="1">
        <v>36</v>
      </c>
      <c r="G323" s="1">
        <v>0</v>
      </c>
      <c r="H323" s="1">
        <v>0</v>
      </c>
      <c r="I323" s="1">
        <v>2.16</v>
      </c>
      <c r="J323" s="1">
        <v>3.6</v>
      </c>
      <c r="K323" s="1">
        <v>41.76</v>
      </c>
      <c r="M323">
        <f t="shared" si="4"/>
        <v>6.0000000000000005E-2</v>
      </c>
    </row>
    <row r="324" spans="1:13" x14ac:dyDescent="0.4">
      <c r="A324" s="1" t="s">
        <v>251</v>
      </c>
      <c r="B324" s="1" t="s">
        <v>253</v>
      </c>
      <c r="C324" s="1" t="s">
        <v>16</v>
      </c>
      <c r="D324" s="1" t="s">
        <v>16</v>
      </c>
      <c r="E324" s="1">
        <v>46</v>
      </c>
      <c r="F324" s="1">
        <v>2208</v>
      </c>
      <c r="G324" s="1">
        <v>-41.59</v>
      </c>
      <c r="H324" s="1">
        <v>0</v>
      </c>
      <c r="I324" s="1">
        <v>129.97999999999999</v>
      </c>
      <c r="J324" s="1">
        <v>212.74</v>
      </c>
      <c r="K324" s="1">
        <v>2509.14</v>
      </c>
      <c r="M324" s="7">
        <f t="shared" si="4"/>
        <v>5.9997876671544166E-2</v>
      </c>
    </row>
    <row r="325" spans="1:13" x14ac:dyDescent="0.4">
      <c r="A325" s="1" t="s">
        <v>251</v>
      </c>
      <c r="B325" s="1" t="s">
        <v>254</v>
      </c>
      <c r="C325" s="1" t="s">
        <v>68</v>
      </c>
      <c r="D325" s="1" t="s">
        <v>16</v>
      </c>
      <c r="E325" s="1">
        <v>8</v>
      </c>
      <c r="F325" s="1">
        <v>160</v>
      </c>
      <c r="G325" s="1">
        <v>-3.7</v>
      </c>
      <c r="H325" s="1">
        <v>0</v>
      </c>
      <c r="I325" s="1">
        <v>9.3800000000000008</v>
      </c>
      <c r="J325" s="1">
        <v>15.63</v>
      </c>
      <c r="K325" s="1">
        <v>181.31</v>
      </c>
      <c r="M325" s="7">
        <f t="shared" si="4"/>
        <v>6.00127959053103E-2</v>
      </c>
    </row>
    <row r="326" spans="1:13" x14ac:dyDescent="0.4">
      <c r="A326" s="1" t="s">
        <v>251</v>
      </c>
      <c r="B326" s="1" t="s">
        <v>254</v>
      </c>
      <c r="C326" s="1" t="s">
        <v>91</v>
      </c>
      <c r="D326" s="1" t="s">
        <v>16</v>
      </c>
      <c r="E326" s="1">
        <v>2</v>
      </c>
      <c r="F326" s="1">
        <v>56</v>
      </c>
      <c r="G326" s="1">
        <v>0</v>
      </c>
      <c r="H326" s="1">
        <v>0</v>
      </c>
      <c r="I326" s="1">
        <v>3.36</v>
      </c>
      <c r="J326" s="1">
        <v>5.6</v>
      </c>
      <c r="K326" s="1">
        <v>64.959999999999994</v>
      </c>
      <c r="M326">
        <f t="shared" si="4"/>
        <v>0.06</v>
      </c>
    </row>
    <row r="327" spans="1:13" x14ac:dyDescent="0.4">
      <c r="A327" s="1" t="s">
        <v>251</v>
      </c>
      <c r="B327" s="1" t="s">
        <v>254</v>
      </c>
      <c r="C327" s="1" t="s">
        <v>88</v>
      </c>
      <c r="D327" s="1" t="s">
        <v>16</v>
      </c>
      <c r="E327" s="1">
        <v>1</v>
      </c>
      <c r="F327" s="1">
        <v>38</v>
      </c>
      <c r="G327" s="1">
        <v>0</v>
      </c>
      <c r="H327" s="1">
        <v>0</v>
      </c>
      <c r="I327" s="1">
        <v>2.2799999999999998</v>
      </c>
      <c r="J327" s="1">
        <v>3.8</v>
      </c>
      <c r="K327" s="1">
        <v>44.08</v>
      </c>
      <c r="M327">
        <f t="shared" si="4"/>
        <v>0.06</v>
      </c>
    </row>
    <row r="328" spans="1:13" x14ac:dyDescent="0.4">
      <c r="A328" s="1" t="s">
        <v>251</v>
      </c>
      <c r="B328" s="1" t="s">
        <v>255</v>
      </c>
      <c r="C328" s="1" t="s">
        <v>88</v>
      </c>
      <c r="D328" s="1" t="s">
        <v>16</v>
      </c>
      <c r="E328" s="1">
        <v>1</v>
      </c>
      <c r="F328" s="1">
        <v>25</v>
      </c>
      <c r="G328" s="1">
        <v>0</v>
      </c>
      <c r="H328" s="1">
        <v>0</v>
      </c>
      <c r="I328" s="1">
        <v>1.5</v>
      </c>
      <c r="J328" s="1">
        <v>2.5</v>
      </c>
      <c r="K328" s="1">
        <v>29</v>
      </c>
      <c r="M328">
        <f t="shared" ref="M328:M391" si="5">I328/(F328+G328)</f>
        <v>0.06</v>
      </c>
    </row>
    <row r="329" spans="1:13" x14ac:dyDescent="0.4">
      <c r="A329" s="1" t="s">
        <v>251</v>
      </c>
      <c r="B329" s="1" t="s">
        <v>255</v>
      </c>
      <c r="C329" s="1" t="s">
        <v>91</v>
      </c>
      <c r="D329" s="1" t="s">
        <v>16</v>
      </c>
      <c r="E329" s="1">
        <v>2</v>
      </c>
      <c r="F329" s="1">
        <v>40</v>
      </c>
      <c r="G329" s="1">
        <v>0</v>
      </c>
      <c r="H329" s="1">
        <v>0</v>
      </c>
      <c r="I329" s="1">
        <v>2.4</v>
      </c>
      <c r="J329" s="1">
        <v>4</v>
      </c>
      <c r="K329" s="1">
        <v>46.4</v>
      </c>
      <c r="M329">
        <f t="shared" si="5"/>
        <v>0.06</v>
      </c>
    </row>
    <row r="330" spans="1:13" x14ac:dyDescent="0.4">
      <c r="A330" s="1" t="s">
        <v>251</v>
      </c>
      <c r="B330" s="1" t="s">
        <v>255</v>
      </c>
      <c r="C330" s="1" t="s">
        <v>68</v>
      </c>
      <c r="D330" s="1" t="s">
        <v>16</v>
      </c>
      <c r="E330" s="1">
        <v>2</v>
      </c>
      <c r="F330" s="1">
        <v>30</v>
      </c>
      <c r="G330" s="1">
        <v>0</v>
      </c>
      <c r="H330" s="1">
        <v>0</v>
      </c>
      <c r="I330" s="1">
        <v>1.8</v>
      </c>
      <c r="J330" s="1">
        <v>3</v>
      </c>
      <c r="K330" s="1">
        <v>34.799999999999997</v>
      </c>
      <c r="M330">
        <f t="shared" si="5"/>
        <v>6.0000000000000005E-2</v>
      </c>
    </row>
    <row r="331" spans="1:13" x14ac:dyDescent="0.4">
      <c r="A331" s="1" t="s">
        <v>251</v>
      </c>
      <c r="B331" s="1" t="s">
        <v>256</v>
      </c>
      <c r="C331" s="1" t="s">
        <v>88</v>
      </c>
      <c r="D331" s="1" t="s">
        <v>16</v>
      </c>
      <c r="E331" s="1">
        <v>4</v>
      </c>
      <c r="F331" s="1">
        <v>232</v>
      </c>
      <c r="G331" s="1">
        <v>-6.05</v>
      </c>
      <c r="H331" s="1">
        <v>0</v>
      </c>
      <c r="I331" s="1">
        <v>13.56</v>
      </c>
      <c r="J331" s="1">
        <v>22.6</v>
      </c>
      <c r="K331" s="1">
        <v>262.10000000000002</v>
      </c>
      <c r="M331" s="7">
        <f t="shared" si="5"/>
        <v>6.001327727373313E-2</v>
      </c>
    </row>
    <row r="332" spans="1:13" x14ac:dyDescent="0.4">
      <c r="A332" s="1" t="s">
        <v>251</v>
      </c>
      <c r="B332" s="1" t="s">
        <v>256</v>
      </c>
      <c r="C332" s="1" t="s">
        <v>68</v>
      </c>
      <c r="D332" s="1" t="s">
        <v>16</v>
      </c>
      <c r="E332" s="1">
        <v>12</v>
      </c>
      <c r="F332" s="1">
        <v>456</v>
      </c>
      <c r="G332" s="1">
        <v>0</v>
      </c>
      <c r="H332" s="1">
        <v>0</v>
      </c>
      <c r="I332" s="1">
        <v>27.36</v>
      </c>
      <c r="J332" s="1">
        <v>45.6</v>
      </c>
      <c r="K332" s="1">
        <v>528.96</v>
      </c>
      <c r="M332">
        <f t="shared" si="5"/>
        <v>0.06</v>
      </c>
    </row>
    <row r="333" spans="1:13" x14ac:dyDescent="0.4">
      <c r="A333" s="1" t="s">
        <v>251</v>
      </c>
      <c r="B333" s="1" t="s">
        <v>257</v>
      </c>
      <c r="C333" s="1" t="s">
        <v>68</v>
      </c>
      <c r="D333" s="1" t="s">
        <v>16</v>
      </c>
      <c r="E333" s="1">
        <v>11</v>
      </c>
      <c r="F333" s="1">
        <v>220</v>
      </c>
      <c r="G333" s="1">
        <v>-6.45</v>
      </c>
      <c r="H333" s="1">
        <v>0</v>
      </c>
      <c r="I333" s="1">
        <v>12.81</v>
      </c>
      <c r="J333" s="1">
        <v>21.36</v>
      </c>
      <c r="K333" s="1">
        <v>247.72</v>
      </c>
      <c r="M333" s="7">
        <f t="shared" si="5"/>
        <v>5.9985951767735891E-2</v>
      </c>
    </row>
    <row r="334" spans="1:13" x14ac:dyDescent="0.4">
      <c r="A334" s="1" t="s">
        <v>251</v>
      </c>
      <c r="B334" s="1" t="s">
        <v>257</v>
      </c>
      <c r="C334" s="1" t="s">
        <v>88</v>
      </c>
      <c r="D334" s="1" t="s">
        <v>16</v>
      </c>
      <c r="E334" s="1">
        <v>2</v>
      </c>
      <c r="F334" s="1">
        <v>76</v>
      </c>
      <c r="G334" s="1">
        <v>0</v>
      </c>
      <c r="H334" s="1">
        <v>0</v>
      </c>
      <c r="I334" s="1">
        <v>4.5599999999999996</v>
      </c>
      <c r="J334" s="1">
        <v>7.6</v>
      </c>
      <c r="K334" s="1">
        <v>88.16</v>
      </c>
      <c r="M334">
        <f t="shared" si="5"/>
        <v>0.06</v>
      </c>
    </row>
    <row r="335" spans="1:13" x14ac:dyDescent="0.4">
      <c r="A335" s="1" t="s">
        <v>251</v>
      </c>
      <c r="B335" s="1" t="s">
        <v>258</v>
      </c>
      <c r="C335" s="1" t="s">
        <v>68</v>
      </c>
      <c r="D335" s="1" t="s">
        <v>16</v>
      </c>
      <c r="E335" s="1">
        <v>1</v>
      </c>
      <c r="F335" s="1">
        <v>20</v>
      </c>
      <c r="G335" s="1">
        <v>0</v>
      </c>
      <c r="H335" s="1">
        <v>0</v>
      </c>
      <c r="I335" s="1">
        <v>1.2</v>
      </c>
      <c r="J335" s="1">
        <v>2</v>
      </c>
      <c r="K335" s="1">
        <v>23.2</v>
      </c>
      <c r="M335">
        <f t="shared" si="5"/>
        <v>0.06</v>
      </c>
    </row>
    <row r="336" spans="1:13" x14ac:dyDescent="0.4">
      <c r="A336" s="1" t="s">
        <v>251</v>
      </c>
      <c r="B336" s="1" t="s">
        <v>258</v>
      </c>
      <c r="C336" s="1" t="s">
        <v>91</v>
      </c>
      <c r="D336" s="1" t="s">
        <v>16</v>
      </c>
      <c r="E336" s="1">
        <v>1</v>
      </c>
      <c r="F336" s="1">
        <v>28</v>
      </c>
      <c r="G336" s="1">
        <v>0</v>
      </c>
      <c r="H336" s="1">
        <v>0</v>
      </c>
      <c r="I336" s="1">
        <v>1.68</v>
      </c>
      <c r="J336" s="1">
        <v>2.8</v>
      </c>
      <c r="K336" s="1">
        <v>32.479999999999997</v>
      </c>
      <c r="M336">
        <f t="shared" si="5"/>
        <v>0.06</v>
      </c>
    </row>
    <row r="337" spans="1:13" x14ac:dyDescent="0.4">
      <c r="A337" s="1" t="s">
        <v>251</v>
      </c>
      <c r="B337" s="1" t="s">
        <v>259</v>
      </c>
      <c r="C337" s="1" t="s">
        <v>88</v>
      </c>
      <c r="D337" s="1" t="s">
        <v>16</v>
      </c>
      <c r="E337" s="1">
        <v>3</v>
      </c>
      <c r="F337" s="1">
        <v>114</v>
      </c>
      <c r="G337" s="1">
        <v>-3.96</v>
      </c>
      <c r="H337" s="1">
        <v>0</v>
      </c>
      <c r="I337" s="1">
        <v>6.6</v>
      </c>
      <c r="J337" s="1">
        <v>7.2</v>
      </c>
      <c r="K337" s="1">
        <v>123.85</v>
      </c>
      <c r="M337" s="7">
        <f t="shared" si="5"/>
        <v>5.9978189749182106E-2</v>
      </c>
    </row>
    <row r="338" spans="1:13" x14ac:dyDescent="0.4">
      <c r="A338" s="1" t="s">
        <v>251</v>
      </c>
      <c r="B338" s="1" t="s">
        <v>259</v>
      </c>
      <c r="C338" s="1" t="s">
        <v>68</v>
      </c>
      <c r="D338" s="1" t="s">
        <v>16</v>
      </c>
      <c r="E338" s="1">
        <v>20</v>
      </c>
      <c r="F338" s="1">
        <v>400</v>
      </c>
      <c r="G338" s="1">
        <v>-2</v>
      </c>
      <c r="H338" s="1">
        <v>0</v>
      </c>
      <c r="I338" s="1">
        <v>23.88</v>
      </c>
      <c r="J338" s="1">
        <v>37.799999999999997</v>
      </c>
      <c r="K338" s="1">
        <v>459.68</v>
      </c>
      <c r="M338">
        <f t="shared" si="5"/>
        <v>0.06</v>
      </c>
    </row>
    <row r="339" spans="1:13" x14ac:dyDescent="0.4">
      <c r="A339" s="1" t="s">
        <v>251</v>
      </c>
      <c r="B339" s="1" t="s">
        <v>260</v>
      </c>
      <c r="C339" s="1" t="s">
        <v>68</v>
      </c>
      <c r="D339" s="1" t="s">
        <v>16</v>
      </c>
      <c r="E339" s="1">
        <v>4</v>
      </c>
      <c r="F339" s="1">
        <v>80</v>
      </c>
      <c r="G339" s="1">
        <v>0</v>
      </c>
      <c r="H339" s="1">
        <v>0</v>
      </c>
      <c r="I339" s="1">
        <v>4.8</v>
      </c>
      <c r="J339" s="1">
        <v>8</v>
      </c>
      <c r="K339" s="1">
        <v>92.8</v>
      </c>
      <c r="M339">
        <f t="shared" si="5"/>
        <v>0.06</v>
      </c>
    </row>
    <row r="340" spans="1:13" x14ac:dyDescent="0.4">
      <c r="A340" s="1" t="s">
        <v>251</v>
      </c>
      <c r="B340" s="1" t="s">
        <v>260</v>
      </c>
      <c r="C340" s="1" t="s">
        <v>88</v>
      </c>
      <c r="D340" s="1" t="s">
        <v>16</v>
      </c>
      <c r="E340" s="1">
        <v>1</v>
      </c>
      <c r="F340" s="1">
        <v>38</v>
      </c>
      <c r="G340" s="1">
        <v>0</v>
      </c>
      <c r="H340" s="1">
        <v>0</v>
      </c>
      <c r="I340" s="1">
        <v>2.2799999999999998</v>
      </c>
      <c r="J340" s="1">
        <v>3.8</v>
      </c>
      <c r="K340" s="1">
        <v>44.08</v>
      </c>
      <c r="M340">
        <f t="shared" si="5"/>
        <v>0.06</v>
      </c>
    </row>
    <row r="341" spans="1:13" x14ac:dyDescent="0.4">
      <c r="A341" s="1" t="s">
        <v>251</v>
      </c>
      <c r="B341" s="1" t="s">
        <v>261</v>
      </c>
      <c r="C341" s="1" t="s">
        <v>68</v>
      </c>
      <c r="D341" s="1" t="s">
        <v>16</v>
      </c>
      <c r="E341" s="1">
        <v>7</v>
      </c>
      <c r="F341" s="1">
        <v>196</v>
      </c>
      <c r="G341" s="1">
        <v>-4.05</v>
      </c>
      <c r="H341" s="1">
        <v>0</v>
      </c>
      <c r="I341" s="1">
        <v>11.52</v>
      </c>
      <c r="J341" s="1">
        <v>19.2</v>
      </c>
      <c r="K341" s="1">
        <v>222.66</v>
      </c>
      <c r="M341" s="7">
        <f t="shared" si="5"/>
        <v>6.0015629070070332E-2</v>
      </c>
    </row>
    <row r="342" spans="1:13" x14ac:dyDescent="0.4">
      <c r="A342" s="1" t="s">
        <v>251</v>
      </c>
      <c r="B342" s="1" t="s">
        <v>261</v>
      </c>
      <c r="C342" s="1" t="s">
        <v>91</v>
      </c>
      <c r="D342" s="1" t="s">
        <v>16</v>
      </c>
      <c r="E342" s="1">
        <v>2</v>
      </c>
      <c r="F342" s="1">
        <v>76</v>
      </c>
      <c r="G342" s="1">
        <v>0</v>
      </c>
      <c r="H342" s="1">
        <v>0</v>
      </c>
      <c r="I342" s="1">
        <v>4.5599999999999996</v>
      </c>
      <c r="J342" s="1">
        <v>3.8</v>
      </c>
      <c r="K342" s="1">
        <v>84.36</v>
      </c>
      <c r="M342">
        <f t="shared" si="5"/>
        <v>0.06</v>
      </c>
    </row>
    <row r="343" spans="1:13" x14ac:dyDescent="0.4">
      <c r="A343" s="1" t="s">
        <v>251</v>
      </c>
      <c r="B343" s="1" t="s">
        <v>261</v>
      </c>
      <c r="C343" s="1" t="s">
        <v>88</v>
      </c>
      <c r="D343" s="1" t="s">
        <v>16</v>
      </c>
      <c r="E343" s="1">
        <v>1</v>
      </c>
      <c r="F343" s="1">
        <v>48</v>
      </c>
      <c r="G343" s="1">
        <v>0</v>
      </c>
      <c r="H343" s="1">
        <v>0</v>
      </c>
      <c r="I343" s="1">
        <v>2.88</v>
      </c>
      <c r="J343" s="1">
        <v>4.8</v>
      </c>
      <c r="K343" s="1">
        <v>55.68</v>
      </c>
      <c r="M343">
        <f t="shared" si="5"/>
        <v>0.06</v>
      </c>
    </row>
    <row r="344" spans="1:13" x14ac:dyDescent="0.4">
      <c r="A344" s="1" t="s">
        <v>251</v>
      </c>
      <c r="B344" s="1" t="s">
        <v>262</v>
      </c>
      <c r="C344" s="1" t="s">
        <v>68</v>
      </c>
      <c r="D344" s="1" t="s">
        <v>16</v>
      </c>
      <c r="E344" s="1">
        <v>7</v>
      </c>
      <c r="F344" s="1">
        <v>126</v>
      </c>
      <c r="G344" s="1">
        <v>-3.42</v>
      </c>
      <c r="H344" s="1">
        <v>0</v>
      </c>
      <c r="I344" s="1">
        <v>7.35</v>
      </c>
      <c r="J344" s="1">
        <v>12.26</v>
      </c>
      <c r="K344" s="1">
        <v>142.19</v>
      </c>
      <c r="M344" s="7">
        <f t="shared" si="5"/>
        <v>5.9960841899167887E-2</v>
      </c>
    </row>
    <row r="345" spans="1:13" x14ac:dyDescent="0.4">
      <c r="A345" s="1" t="s">
        <v>251</v>
      </c>
      <c r="B345" s="1" t="s">
        <v>262</v>
      </c>
      <c r="C345" s="1" t="s">
        <v>263</v>
      </c>
      <c r="D345" s="1" t="s">
        <v>16</v>
      </c>
      <c r="E345" s="1">
        <v>1</v>
      </c>
      <c r="F345" s="1">
        <v>30</v>
      </c>
      <c r="G345" s="1">
        <v>0</v>
      </c>
      <c r="H345" s="1">
        <v>0</v>
      </c>
      <c r="I345" s="1">
        <v>1.8</v>
      </c>
      <c r="J345" s="1">
        <v>3</v>
      </c>
      <c r="K345" s="1">
        <v>34.799999999999997</v>
      </c>
      <c r="M345">
        <f t="shared" si="5"/>
        <v>6.0000000000000005E-2</v>
      </c>
    </row>
    <row r="346" spans="1:13" x14ac:dyDescent="0.4">
      <c r="A346" s="1" t="s">
        <v>251</v>
      </c>
      <c r="B346" s="1" t="s">
        <v>262</v>
      </c>
      <c r="C346" s="1" t="s">
        <v>91</v>
      </c>
      <c r="D346" s="1" t="s">
        <v>16</v>
      </c>
      <c r="E346" s="1">
        <v>1</v>
      </c>
      <c r="F346" s="1">
        <v>24</v>
      </c>
      <c r="G346" s="1">
        <v>0</v>
      </c>
      <c r="H346" s="1">
        <v>0</v>
      </c>
      <c r="I346" s="1">
        <v>1.44</v>
      </c>
      <c r="J346" s="1">
        <v>2.4</v>
      </c>
      <c r="K346" s="1">
        <v>27.84</v>
      </c>
      <c r="M346">
        <f t="shared" si="5"/>
        <v>0.06</v>
      </c>
    </row>
    <row r="347" spans="1:13" x14ac:dyDescent="0.4">
      <c r="A347" s="1" t="s">
        <v>251</v>
      </c>
      <c r="B347" s="1" t="s">
        <v>262</v>
      </c>
      <c r="C347" s="1" t="s">
        <v>264</v>
      </c>
      <c r="D347" s="1" t="s">
        <v>16</v>
      </c>
      <c r="E347" s="1">
        <v>1</v>
      </c>
      <c r="F347" s="1">
        <v>18</v>
      </c>
      <c r="G347" s="1">
        <v>0</v>
      </c>
      <c r="H347" s="1">
        <v>0</v>
      </c>
      <c r="I347" s="1">
        <v>1.08</v>
      </c>
      <c r="J347" s="1">
        <v>0</v>
      </c>
      <c r="K347" s="1">
        <v>19.079999999999998</v>
      </c>
      <c r="M347">
        <f t="shared" si="5"/>
        <v>6.0000000000000005E-2</v>
      </c>
    </row>
    <row r="348" spans="1:13" x14ac:dyDescent="0.4">
      <c r="A348" s="1" t="s">
        <v>251</v>
      </c>
      <c r="B348" s="1" t="s">
        <v>262</v>
      </c>
      <c r="C348" s="1" t="s">
        <v>88</v>
      </c>
      <c r="D348" s="1" t="s">
        <v>16</v>
      </c>
      <c r="E348" s="1">
        <v>1</v>
      </c>
      <c r="F348" s="1">
        <v>30</v>
      </c>
      <c r="G348" s="1">
        <v>0</v>
      </c>
      <c r="H348" s="1">
        <v>0</v>
      </c>
      <c r="I348" s="1">
        <v>1.8</v>
      </c>
      <c r="J348" s="1">
        <v>3</v>
      </c>
      <c r="K348" s="1">
        <v>34.799999999999997</v>
      </c>
      <c r="M348">
        <f t="shared" si="5"/>
        <v>6.0000000000000005E-2</v>
      </c>
    </row>
    <row r="349" spans="1:13" x14ac:dyDescent="0.4">
      <c r="A349" s="3" t="s">
        <v>265</v>
      </c>
      <c r="B349" s="3" t="s">
        <v>16</v>
      </c>
      <c r="C349" s="3" t="s">
        <v>16</v>
      </c>
      <c r="D349" s="3" t="s">
        <v>16</v>
      </c>
      <c r="E349" s="3">
        <v>12</v>
      </c>
      <c r="F349" s="3">
        <v>366</v>
      </c>
      <c r="G349" s="3">
        <v>-10.82</v>
      </c>
      <c r="H349" s="3">
        <v>0</v>
      </c>
      <c r="I349" s="3">
        <v>21.31</v>
      </c>
      <c r="J349" s="3">
        <v>35.520000000000003</v>
      </c>
      <c r="K349" s="3">
        <v>412.01</v>
      </c>
      <c r="M349" s="7">
        <f t="shared" si="5"/>
        <v>5.9997747620924594E-2</v>
      </c>
    </row>
    <row r="350" spans="1:13" x14ac:dyDescent="0.4">
      <c r="A350" s="1" t="s">
        <v>265</v>
      </c>
      <c r="B350" s="1" t="s">
        <v>266</v>
      </c>
      <c r="C350" s="1" t="s">
        <v>68</v>
      </c>
      <c r="D350" s="1" t="s">
        <v>16</v>
      </c>
      <c r="E350" s="1">
        <v>1</v>
      </c>
      <c r="F350" s="1">
        <v>28</v>
      </c>
      <c r="G350" s="1">
        <v>0</v>
      </c>
      <c r="H350" s="1">
        <v>0</v>
      </c>
      <c r="I350" s="1">
        <v>1.68</v>
      </c>
      <c r="J350" s="1">
        <v>2.8</v>
      </c>
      <c r="K350" s="1">
        <v>32.479999999999997</v>
      </c>
      <c r="M350">
        <f t="shared" si="5"/>
        <v>0.06</v>
      </c>
    </row>
    <row r="351" spans="1:13" x14ac:dyDescent="0.4">
      <c r="A351" s="1" t="s">
        <v>265</v>
      </c>
      <c r="B351" s="1" t="s">
        <v>267</v>
      </c>
      <c r="C351" s="1" t="s">
        <v>68</v>
      </c>
      <c r="D351" s="1" t="s">
        <v>16</v>
      </c>
      <c r="E351" s="1">
        <v>1</v>
      </c>
      <c r="F351" s="1">
        <v>28</v>
      </c>
      <c r="G351" s="1">
        <v>0</v>
      </c>
      <c r="H351" s="1">
        <v>0</v>
      </c>
      <c r="I351" s="1">
        <v>1.68</v>
      </c>
      <c r="J351" s="1">
        <v>2.8</v>
      </c>
      <c r="K351" s="1">
        <v>32.479999999999997</v>
      </c>
      <c r="M351">
        <f t="shared" si="5"/>
        <v>0.06</v>
      </c>
    </row>
    <row r="352" spans="1:13" x14ac:dyDescent="0.4">
      <c r="A352" s="1" t="s">
        <v>265</v>
      </c>
      <c r="B352" s="1" t="s">
        <v>268</v>
      </c>
      <c r="C352" s="1" t="s">
        <v>91</v>
      </c>
      <c r="D352" s="1" t="s">
        <v>16</v>
      </c>
      <c r="E352" s="1">
        <v>1</v>
      </c>
      <c r="F352" s="1">
        <v>38</v>
      </c>
      <c r="G352" s="1">
        <v>0</v>
      </c>
      <c r="H352" s="1">
        <v>0</v>
      </c>
      <c r="I352" s="1">
        <v>2.2799999999999998</v>
      </c>
      <c r="J352" s="1">
        <v>3.8</v>
      </c>
      <c r="K352" s="1">
        <v>44.08</v>
      </c>
      <c r="M352">
        <f t="shared" si="5"/>
        <v>0.06</v>
      </c>
    </row>
    <row r="353" spans="1:14" x14ac:dyDescent="0.4">
      <c r="A353" s="1" t="s">
        <v>265</v>
      </c>
      <c r="B353" s="1" t="s">
        <v>268</v>
      </c>
      <c r="C353" s="1" t="s">
        <v>68</v>
      </c>
      <c r="D353" s="1" t="s">
        <v>16</v>
      </c>
      <c r="E353" s="1">
        <v>2</v>
      </c>
      <c r="F353" s="1">
        <v>56</v>
      </c>
      <c r="G353" s="1">
        <v>0</v>
      </c>
      <c r="H353" s="1">
        <v>0</v>
      </c>
      <c r="I353" s="1">
        <v>3.36</v>
      </c>
      <c r="J353" s="1">
        <v>5.6</v>
      </c>
      <c r="K353" s="1">
        <v>64.959999999999994</v>
      </c>
      <c r="M353">
        <f t="shared" si="5"/>
        <v>0.06</v>
      </c>
    </row>
    <row r="354" spans="1:14" x14ac:dyDescent="0.4">
      <c r="A354" s="1" t="s">
        <v>265</v>
      </c>
      <c r="B354" s="1" t="s">
        <v>269</v>
      </c>
      <c r="C354" s="1" t="s">
        <v>68</v>
      </c>
      <c r="D354" s="1" t="s">
        <v>16</v>
      </c>
      <c r="E354" s="1">
        <v>5</v>
      </c>
      <c r="F354" s="1">
        <v>140</v>
      </c>
      <c r="G354" s="1">
        <v>-5.31</v>
      </c>
      <c r="H354" s="1">
        <v>0</v>
      </c>
      <c r="I354" s="1">
        <v>8.08</v>
      </c>
      <c r="J354" s="1">
        <v>13.47</v>
      </c>
      <c r="K354" s="1">
        <v>156.24</v>
      </c>
      <c r="M354" s="7">
        <f t="shared" si="5"/>
        <v>5.9989605761377983E-2</v>
      </c>
    </row>
    <row r="355" spans="1:14" x14ac:dyDescent="0.4">
      <c r="A355" s="1" t="s">
        <v>265</v>
      </c>
      <c r="B355" s="1" t="s">
        <v>269</v>
      </c>
      <c r="C355" s="1" t="s">
        <v>91</v>
      </c>
      <c r="D355" s="1" t="s">
        <v>16</v>
      </c>
      <c r="E355" s="1">
        <v>2</v>
      </c>
      <c r="F355" s="1">
        <v>76</v>
      </c>
      <c r="G355" s="1">
        <v>-5.51</v>
      </c>
      <c r="H355" s="1">
        <v>0</v>
      </c>
      <c r="I355" s="1">
        <v>4.2300000000000004</v>
      </c>
      <c r="J355" s="1">
        <v>7.05</v>
      </c>
      <c r="K355" s="1">
        <v>81.77</v>
      </c>
      <c r="M355" s="7">
        <f t="shared" si="5"/>
        <v>6.0008511845651875E-2</v>
      </c>
    </row>
    <row r="356" spans="1:14" x14ac:dyDescent="0.4">
      <c r="A356" s="3" t="s">
        <v>270</v>
      </c>
      <c r="B356" s="3" t="s">
        <v>16</v>
      </c>
      <c r="C356" s="3" t="s">
        <v>16</v>
      </c>
      <c r="D356" s="3" t="s">
        <v>16</v>
      </c>
      <c r="E356" s="3">
        <v>887</v>
      </c>
      <c r="F356" s="3">
        <v>4103.5</v>
      </c>
      <c r="G356" s="3">
        <v>-34.130000000000003</v>
      </c>
      <c r="H356" s="3">
        <v>0</v>
      </c>
      <c r="I356" s="3">
        <v>244.16</v>
      </c>
      <c r="J356" s="3">
        <v>397.72</v>
      </c>
      <c r="K356" s="3">
        <v>4711.25</v>
      </c>
      <c r="M356" s="7">
        <f t="shared" si="5"/>
        <v>5.999945937577561E-2</v>
      </c>
    </row>
    <row r="357" spans="1:14" x14ac:dyDescent="0.4">
      <c r="A357" s="1" t="s">
        <v>270</v>
      </c>
      <c r="B357" s="1" t="s">
        <v>271</v>
      </c>
      <c r="C357" s="1" t="s">
        <v>16</v>
      </c>
      <c r="D357" s="1" t="s">
        <v>16</v>
      </c>
      <c r="E357" s="1">
        <v>32</v>
      </c>
      <c r="F357" s="1">
        <v>112</v>
      </c>
      <c r="G357" s="1">
        <v>-3.02</v>
      </c>
      <c r="H357" s="1">
        <v>0</v>
      </c>
      <c r="I357" s="1">
        <v>6.54</v>
      </c>
      <c r="J357" s="1">
        <v>10.06</v>
      </c>
      <c r="K357" s="1">
        <v>125.58</v>
      </c>
      <c r="M357" s="7">
        <f t="shared" si="5"/>
        <v>6.0011011194714622E-2</v>
      </c>
    </row>
    <row r="358" spans="1:14" x14ac:dyDescent="0.4">
      <c r="A358" s="1" t="s">
        <v>270</v>
      </c>
      <c r="B358" s="1" t="s">
        <v>272</v>
      </c>
      <c r="C358" s="1" t="s">
        <v>16</v>
      </c>
      <c r="D358" s="1" t="s">
        <v>16</v>
      </c>
      <c r="E358" s="1">
        <v>43</v>
      </c>
      <c r="F358" s="1">
        <v>215</v>
      </c>
      <c r="G358" s="1">
        <v>-0.39</v>
      </c>
      <c r="H358" s="1">
        <v>0</v>
      </c>
      <c r="I358" s="1">
        <v>12.88</v>
      </c>
      <c r="J358" s="1">
        <v>20.96</v>
      </c>
      <c r="K358" s="1">
        <v>248.45</v>
      </c>
      <c r="M358" s="7">
        <f t="shared" si="5"/>
        <v>6.0015842691393692E-2</v>
      </c>
    </row>
    <row r="359" spans="1:14" x14ac:dyDescent="0.4">
      <c r="A359" s="1" t="s">
        <v>270</v>
      </c>
      <c r="B359" s="1" t="s">
        <v>273</v>
      </c>
      <c r="C359" s="1" t="s">
        <v>16</v>
      </c>
      <c r="D359" s="1" t="s">
        <v>16</v>
      </c>
      <c r="E359" s="1">
        <v>76</v>
      </c>
      <c r="F359" s="1">
        <v>270</v>
      </c>
      <c r="G359" s="1">
        <v>-0.35</v>
      </c>
      <c r="H359" s="1">
        <v>0</v>
      </c>
      <c r="I359" s="1">
        <v>16.18</v>
      </c>
      <c r="J359" s="1">
        <v>26.97</v>
      </c>
      <c r="K359" s="1">
        <v>312.79000000000002</v>
      </c>
      <c r="M359" s="7">
        <f t="shared" si="5"/>
        <v>6.0003708511032823E-2</v>
      </c>
    </row>
    <row r="360" spans="1:14" x14ac:dyDescent="0.4">
      <c r="A360" s="1" t="s">
        <v>270</v>
      </c>
      <c r="B360" s="1" t="s">
        <v>274</v>
      </c>
      <c r="C360" s="1" t="s">
        <v>16</v>
      </c>
      <c r="D360" s="1" t="s">
        <v>16</v>
      </c>
      <c r="E360" s="1">
        <v>107</v>
      </c>
      <c r="F360" s="1">
        <v>374.5</v>
      </c>
      <c r="G360" s="1">
        <v>-2.38</v>
      </c>
      <c r="H360" s="1">
        <v>0</v>
      </c>
      <c r="I360" s="1">
        <v>22.33</v>
      </c>
      <c r="J360" s="1">
        <v>36.229999999999997</v>
      </c>
      <c r="K360" s="1">
        <v>430.68</v>
      </c>
      <c r="M360" s="7">
        <f t="shared" si="5"/>
        <v>6.0007524454477046E-2</v>
      </c>
    </row>
    <row r="361" spans="1:14" x14ac:dyDescent="0.4">
      <c r="A361" s="1" t="s">
        <v>270</v>
      </c>
      <c r="B361" s="1" t="s">
        <v>275</v>
      </c>
      <c r="C361" s="1" t="s">
        <v>16</v>
      </c>
      <c r="D361" s="1" t="s">
        <v>16</v>
      </c>
      <c r="E361" s="1">
        <v>11</v>
      </c>
      <c r="F361" s="1">
        <v>38.5</v>
      </c>
      <c r="G361" s="1">
        <v>0</v>
      </c>
      <c r="H361" s="1">
        <v>0</v>
      </c>
      <c r="I361" s="1">
        <v>2.31</v>
      </c>
      <c r="J361" s="1">
        <v>3.85</v>
      </c>
      <c r="K361" s="1">
        <v>44.66</v>
      </c>
      <c r="M361">
        <f t="shared" si="5"/>
        <v>6.0000000000000005E-2</v>
      </c>
    </row>
    <row r="362" spans="1:14" x14ac:dyDescent="0.4">
      <c r="A362" s="1" t="s">
        <v>270</v>
      </c>
      <c r="B362" s="1" t="s">
        <v>276</v>
      </c>
      <c r="C362" s="1" t="s">
        <v>16</v>
      </c>
      <c r="D362" s="1" t="s">
        <v>16</v>
      </c>
      <c r="E362" s="1">
        <v>10</v>
      </c>
      <c r="F362" s="1">
        <v>55</v>
      </c>
      <c r="G362" s="1">
        <v>-1.88</v>
      </c>
      <c r="H362" s="1">
        <v>0</v>
      </c>
      <c r="I362" s="1">
        <v>3.19</v>
      </c>
      <c r="J362" s="1">
        <v>5.31</v>
      </c>
      <c r="K362" s="1">
        <v>61.62</v>
      </c>
      <c r="M362" s="7">
        <f t="shared" si="5"/>
        <v>6.0052710843373498E-2</v>
      </c>
    </row>
    <row r="363" spans="1:14" x14ac:dyDescent="0.4">
      <c r="A363" s="1" t="s">
        <v>270</v>
      </c>
      <c r="B363" s="1" t="s">
        <v>277</v>
      </c>
      <c r="C363" s="1" t="s">
        <v>16</v>
      </c>
      <c r="D363" s="1" t="s">
        <v>16</v>
      </c>
      <c r="E363" s="1">
        <v>103</v>
      </c>
      <c r="F363" s="1">
        <v>772.5</v>
      </c>
      <c r="G363" s="1">
        <v>-8.44</v>
      </c>
      <c r="H363" s="1">
        <v>0</v>
      </c>
      <c r="I363" s="1">
        <v>45.84</v>
      </c>
      <c r="J363" s="1">
        <v>73.11</v>
      </c>
      <c r="K363" s="1">
        <v>883.01</v>
      </c>
      <c r="M363" s="7">
        <f t="shared" si="5"/>
        <v>5.9995288328141778E-2</v>
      </c>
    </row>
    <row r="364" spans="1:14" x14ac:dyDescent="0.4">
      <c r="A364" s="1" t="s">
        <v>270</v>
      </c>
      <c r="B364" s="1" t="s">
        <v>278</v>
      </c>
      <c r="C364" s="1" t="s">
        <v>16</v>
      </c>
      <c r="D364" s="1" t="s">
        <v>16</v>
      </c>
      <c r="E364" s="1">
        <v>31</v>
      </c>
      <c r="F364" s="1">
        <v>155</v>
      </c>
      <c r="G364" s="1">
        <v>-0.72</v>
      </c>
      <c r="H364" s="1">
        <v>0</v>
      </c>
      <c r="I364" s="1">
        <v>9.26</v>
      </c>
      <c r="J364" s="1">
        <v>14.93</v>
      </c>
      <c r="K364" s="1">
        <v>178.46</v>
      </c>
      <c r="M364" s="7">
        <f t="shared" si="5"/>
        <v>6.0020741508944771E-2</v>
      </c>
    </row>
    <row r="365" spans="1:14" x14ac:dyDescent="0.4">
      <c r="A365" s="1" t="s">
        <v>270</v>
      </c>
      <c r="B365" s="1" t="s">
        <v>279</v>
      </c>
      <c r="C365" s="1" t="s">
        <v>16</v>
      </c>
      <c r="D365" s="1" t="s">
        <v>16</v>
      </c>
      <c r="E365" s="1">
        <v>148</v>
      </c>
      <c r="F365" s="1">
        <v>148</v>
      </c>
      <c r="G365" s="1">
        <v>-1.1100000000000001</v>
      </c>
      <c r="H365" s="1">
        <v>0</v>
      </c>
      <c r="I365" s="1">
        <v>8.81</v>
      </c>
      <c r="J365" s="1">
        <v>14.59</v>
      </c>
      <c r="K365" s="1">
        <v>170.29</v>
      </c>
      <c r="M365" s="7">
        <f t="shared" si="5"/>
        <v>5.9976853427735045E-2</v>
      </c>
    </row>
    <row r="366" spans="1:14" x14ac:dyDescent="0.4">
      <c r="A366" s="1" t="s">
        <v>270</v>
      </c>
      <c r="B366" s="1" t="s">
        <v>280</v>
      </c>
      <c r="C366" s="1" t="s">
        <v>16</v>
      </c>
      <c r="D366" s="1" t="s">
        <v>16</v>
      </c>
      <c r="E366" s="1">
        <v>49</v>
      </c>
      <c r="F366" s="1">
        <v>245</v>
      </c>
      <c r="G366" s="1">
        <v>-3.21</v>
      </c>
      <c r="H366" s="1">
        <v>0</v>
      </c>
      <c r="I366" s="1">
        <v>14.51</v>
      </c>
      <c r="J366" s="1">
        <v>21.68</v>
      </c>
      <c r="K366" s="1">
        <v>277.98</v>
      </c>
      <c r="M366" s="7">
        <f t="shared" si="5"/>
        <v>6.0010753132883905E-2</v>
      </c>
    </row>
    <row r="367" spans="1:14" x14ac:dyDescent="0.4">
      <c r="A367" s="9" t="s">
        <v>270</v>
      </c>
      <c r="B367" s="9" t="s">
        <v>281</v>
      </c>
      <c r="C367" s="9" t="s">
        <v>282</v>
      </c>
      <c r="D367" s="9" t="s">
        <v>16</v>
      </c>
      <c r="E367" s="9">
        <v>1</v>
      </c>
      <c r="F367" s="9">
        <v>22</v>
      </c>
      <c r="G367" s="9">
        <v>0</v>
      </c>
      <c r="H367" s="9">
        <v>0</v>
      </c>
      <c r="I367" s="9">
        <v>1.32</v>
      </c>
      <c r="J367" s="9">
        <v>2.2000000000000002</v>
      </c>
      <c r="K367" s="9">
        <v>25.52</v>
      </c>
      <c r="L367" s="4"/>
      <c r="M367" s="4">
        <f t="shared" si="5"/>
        <v>6.0000000000000005E-2</v>
      </c>
      <c r="N367" s="4">
        <f>F367*0.08</f>
        <v>1.76</v>
      </c>
    </row>
    <row r="368" spans="1:14" x14ac:dyDescent="0.4">
      <c r="A368" s="9" t="s">
        <v>270</v>
      </c>
      <c r="B368" s="9" t="s">
        <v>281</v>
      </c>
      <c r="C368" s="9" t="s">
        <v>283</v>
      </c>
      <c r="D368" s="9" t="s">
        <v>16</v>
      </c>
      <c r="E368" s="9">
        <v>47</v>
      </c>
      <c r="F368" s="9">
        <v>1034</v>
      </c>
      <c r="G368" s="9">
        <v>0</v>
      </c>
      <c r="H368" s="9">
        <v>0</v>
      </c>
      <c r="I368" s="9">
        <v>62.04</v>
      </c>
      <c r="J368" s="9">
        <v>103.4</v>
      </c>
      <c r="K368" s="9">
        <v>1199.44</v>
      </c>
      <c r="L368" s="4"/>
      <c r="M368" s="4">
        <f t="shared" si="5"/>
        <v>0.06</v>
      </c>
      <c r="N368" s="4">
        <f>F368*0.08</f>
        <v>82.72</v>
      </c>
    </row>
    <row r="369" spans="1:13" x14ac:dyDescent="0.4">
      <c r="A369" s="1" t="s">
        <v>270</v>
      </c>
      <c r="B369" s="1" t="s">
        <v>284</v>
      </c>
      <c r="C369" s="1" t="s">
        <v>16</v>
      </c>
      <c r="D369" s="1" t="s">
        <v>16</v>
      </c>
      <c r="E369" s="1">
        <v>138</v>
      </c>
      <c r="F369" s="1">
        <v>207</v>
      </c>
      <c r="G369" s="1">
        <v>-6.39</v>
      </c>
      <c r="H369" s="1">
        <v>0</v>
      </c>
      <c r="I369" s="1">
        <v>12.04</v>
      </c>
      <c r="J369" s="1">
        <v>20.059999999999999</v>
      </c>
      <c r="K369" s="1">
        <v>232.71</v>
      </c>
      <c r="M369" s="7">
        <f t="shared" si="5"/>
        <v>6.0016948307661626E-2</v>
      </c>
    </row>
    <row r="370" spans="1:13" x14ac:dyDescent="0.4">
      <c r="A370" s="1" t="s">
        <v>270</v>
      </c>
      <c r="B370" s="1" t="s">
        <v>285</v>
      </c>
      <c r="C370" s="1" t="s">
        <v>16</v>
      </c>
      <c r="D370" s="1" t="s">
        <v>16</v>
      </c>
      <c r="E370" s="1">
        <v>58</v>
      </c>
      <c r="F370" s="1">
        <v>290</v>
      </c>
      <c r="G370" s="1">
        <v>-3.95</v>
      </c>
      <c r="H370" s="1">
        <v>0</v>
      </c>
      <c r="I370" s="1">
        <v>17.16</v>
      </c>
      <c r="J370" s="1">
        <v>28.61</v>
      </c>
      <c r="K370" s="1">
        <v>331.82</v>
      </c>
      <c r="M370" s="7">
        <f t="shared" si="5"/>
        <v>5.9989512323020452E-2</v>
      </c>
    </row>
    <row r="371" spans="1:13" x14ac:dyDescent="0.4">
      <c r="A371" s="1" t="s">
        <v>270</v>
      </c>
      <c r="B371" s="1" t="s">
        <v>286</v>
      </c>
      <c r="C371" s="1" t="s">
        <v>16</v>
      </c>
      <c r="D371" s="1" t="s">
        <v>16</v>
      </c>
      <c r="E371" s="1">
        <v>33</v>
      </c>
      <c r="F371" s="1">
        <v>165</v>
      </c>
      <c r="G371" s="1">
        <v>-2.29</v>
      </c>
      <c r="H371" s="1">
        <v>0</v>
      </c>
      <c r="I371" s="1">
        <v>9.76</v>
      </c>
      <c r="J371" s="1">
        <v>15.77</v>
      </c>
      <c r="K371" s="1">
        <v>188.24</v>
      </c>
      <c r="M371" s="7">
        <f t="shared" si="5"/>
        <v>5.9984020650236614E-2</v>
      </c>
    </row>
    <row r="372" spans="1:13" x14ac:dyDescent="0.4">
      <c r="A372" s="3" t="s">
        <v>287</v>
      </c>
      <c r="B372" s="3" t="s">
        <v>16</v>
      </c>
      <c r="C372" s="3" t="s">
        <v>16</v>
      </c>
      <c r="D372" s="3" t="s">
        <v>16</v>
      </c>
      <c r="E372" s="3">
        <v>293</v>
      </c>
      <c r="F372" s="3">
        <v>2346</v>
      </c>
      <c r="G372" s="3">
        <v>-20.350000000000001</v>
      </c>
      <c r="H372" s="3">
        <v>0</v>
      </c>
      <c r="I372" s="3">
        <v>139.54</v>
      </c>
      <c r="J372" s="3">
        <v>208.88</v>
      </c>
      <c r="K372" s="3">
        <v>2674.07</v>
      </c>
      <c r="M372">
        <f t="shared" si="5"/>
        <v>6.0000429987315369E-2</v>
      </c>
    </row>
    <row r="373" spans="1:13" x14ac:dyDescent="0.4">
      <c r="A373" s="1" t="s">
        <v>287</v>
      </c>
      <c r="B373" s="1" t="s">
        <v>288</v>
      </c>
      <c r="C373" s="1" t="s">
        <v>16</v>
      </c>
      <c r="D373" s="1" t="s">
        <v>16</v>
      </c>
      <c r="E373" s="1">
        <v>193</v>
      </c>
      <c r="F373" s="1">
        <v>1158</v>
      </c>
      <c r="G373" s="1">
        <v>-9.86</v>
      </c>
      <c r="H373" s="1">
        <v>0</v>
      </c>
      <c r="I373" s="1">
        <v>68.89</v>
      </c>
      <c r="J373" s="1">
        <v>108.92</v>
      </c>
      <c r="K373" s="1">
        <v>1325.94</v>
      </c>
      <c r="M373" s="7">
        <f t="shared" si="5"/>
        <v>6.0001393558276862E-2</v>
      </c>
    </row>
    <row r="374" spans="1:13" x14ac:dyDescent="0.4">
      <c r="A374" s="1" t="s">
        <v>287</v>
      </c>
      <c r="B374" s="1" t="s">
        <v>289</v>
      </c>
      <c r="C374" s="1" t="s">
        <v>16</v>
      </c>
      <c r="D374" s="1" t="s">
        <v>16</v>
      </c>
      <c r="E374" s="1">
        <v>97</v>
      </c>
      <c r="F374" s="1">
        <v>1164</v>
      </c>
      <c r="G374" s="1">
        <v>-10.49</v>
      </c>
      <c r="H374" s="1">
        <v>0</v>
      </c>
      <c r="I374" s="1">
        <v>69.209999999999994</v>
      </c>
      <c r="J374" s="1">
        <v>97.57</v>
      </c>
      <c r="K374" s="1">
        <v>1320.29</v>
      </c>
      <c r="M374" s="7">
        <f t="shared" si="5"/>
        <v>5.9999479848462517E-2</v>
      </c>
    </row>
    <row r="375" spans="1:13" x14ac:dyDescent="0.4">
      <c r="A375" s="1" t="s">
        <v>287</v>
      </c>
      <c r="B375" s="1" t="s">
        <v>290</v>
      </c>
      <c r="C375" s="1" t="s">
        <v>16</v>
      </c>
      <c r="D375" s="1" t="s">
        <v>16</v>
      </c>
      <c r="E375" s="1">
        <v>2</v>
      </c>
      <c r="F375" s="1">
        <v>12</v>
      </c>
      <c r="G375" s="1">
        <v>0</v>
      </c>
      <c r="H375" s="1">
        <v>0</v>
      </c>
      <c r="I375" s="1">
        <v>0.72</v>
      </c>
      <c r="J375" s="1">
        <v>1.2</v>
      </c>
      <c r="K375" s="1">
        <v>13.92</v>
      </c>
      <c r="M375">
        <f t="shared" si="5"/>
        <v>0.06</v>
      </c>
    </row>
    <row r="376" spans="1:13" x14ac:dyDescent="0.4">
      <c r="A376" s="1" t="s">
        <v>287</v>
      </c>
      <c r="B376" s="1" t="s">
        <v>291</v>
      </c>
      <c r="C376" s="1" t="s">
        <v>16</v>
      </c>
      <c r="D376" s="1" t="s">
        <v>16</v>
      </c>
      <c r="E376" s="1">
        <v>1</v>
      </c>
      <c r="F376" s="1">
        <v>12</v>
      </c>
      <c r="G376" s="1">
        <v>0</v>
      </c>
      <c r="H376" s="1">
        <v>0</v>
      </c>
      <c r="I376" s="1">
        <v>0.72</v>
      </c>
      <c r="J376" s="1">
        <v>1.2</v>
      </c>
      <c r="K376" s="1">
        <v>13.92</v>
      </c>
      <c r="M376">
        <f t="shared" si="5"/>
        <v>0.06</v>
      </c>
    </row>
    <row r="377" spans="1:13" x14ac:dyDescent="0.4">
      <c r="A377" s="3" t="s">
        <v>292</v>
      </c>
      <c r="B377" s="3" t="s">
        <v>16</v>
      </c>
      <c r="C377" s="3" t="s">
        <v>16</v>
      </c>
      <c r="D377" s="3" t="s">
        <v>16</v>
      </c>
      <c r="E377" s="3">
        <v>37</v>
      </c>
      <c r="F377" s="3">
        <v>6203.9</v>
      </c>
      <c r="G377" s="3">
        <v>-88.33</v>
      </c>
      <c r="H377" s="3">
        <v>0</v>
      </c>
      <c r="I377" s="3">
        <v>366.93</v>
      </c>
      <c r="J377" s="3">
        <v>611.55999999999995</v>
      </c>
      <c r="K377" s="3">
        <v>7094.06</v>
      </c>
      <c r="M377" s="7">
        <f t="shared" si="5"/>
        <v>5.999931322836629E-2</v>
      </c>
    </row>
    <row r="378" spans="1:13" x14ac:dyDescent="0.4">
      <c r="A378" s="1" t="s">
        <v>292</v>
      </c>
      <c r="B378" s="1" t="s">
        <v>293</v>
      </c>
      <c r="C378" s="1" t="s">
        <v>16</v>
      </c>
      <c r="D378" s="1" t="s">
        <v>16</v>
      </c>
      <c r="E378" s="1">
        <v>16</v>
      </c>
      <c r="F378" s="1">
        <v>2270.1</v>
      </c>
      <c r="G378" s="1">
        <v>-29.89</v>
      </c>
      <c r="H378" s="1">
        <v>0</v>
      </c>
      <c r="I378" s="1">
        <v>134.41</v>
      </c>
      <c r="J378" s="1">
        <v>224.02</v>
      </c>
      <c r="K378" s="1">
        <v>2598.64</v>
      </c>
      <c r="M378" s="7">
        <f t="shared" si="5"/>
        <v>5.9998839394521046E-2</v>
      </c>
    </row>
    <row r="379" spans="1:13" x14ac:dyDescent="0.4">
      <c r="A379" s="1" t="s">
        <v>292</v>
      </c>
      <c r="B379" s="1" t="s">
        <v>294</v>
      </c>
      <c r="C379" s="1" t="s">
        <v>16</v>
      </c>
      <c r="D379" s="1" t="s">
        <v>16</v>
      </c>
      <c r="E379" s="1">
        <v>21</v>
      </c>
      <c r="F379" s="1">
        <v>3933.8</v>
      </c>
      <c r="G379" s="1">
        <v>-58.44</v>
      </c>
      <c r="H379" s="1">
        <v>0</v>
      </c>
      <c r="I379" s="1">
        <v>232.52</v>
      </c>
      <c r="J379" s="1">
        <v>387.54</v>
      </c>
      <c r="K379" s="1">
        <v>4495.42</v>
      </c>
      <c r="M379">
        <f t="shared" si="5"/>
        <v>5.9999587135130671E-2</v>
      </c>
    </row>
    <row r="380" spans="1:13" x14ac:dyDescent="0.4">
      <c r="A380" s="3" t="s">
        <v>295</v>
      </c>
      <c r="B380" s="3" t="s">
        <v>16</v>
      </c>
      <c r="C380" s="3" t="s">
        <v>16</v>
      </c>
      <c r="D380" s="3" t="s">
        <v>16</v>
      </c>
      <c r="E380" s="3">
        <v>1</v>
      </c>
      <c r="F380" s="3">
        <v>68.8</v>
      </c>
      <c r="G380" s="3">
        <v>0</v>
      </c>
      <c r="H380" s="3">
        <v>0</v>
      </c>
      <c r="I380" s="3">
        <v>4.13</v>
      </c>
      <c r="J380" s="3">
        <v>6.88</v>
      </c>
      <c r="K380" s="3">
        <v>79.81</v>
      </c>
      <c r="M380" s="7">
        <f t="shared" si="5"/>
        <v>6.0029069767441864E-2</v>
      </c>
    </row>
    <row r="381" spans="1:13" x14ac:dyDescent="0.4">
      <c r="A381" s="1" t="s">
        <v>295</v>
      </c>
      <c r="B381" s="1" t="s">
        <v>296</v>
      </c>
      <c r="C381" s="1" t="s">
        <v>16</v>
      </c>
      <c r="D381" s="1" t="s">
        <v>16</v>
      </c>
      <c r="E381" s="1">
        <v>1</v>
      </c>
      <c r="F381" s="1">
        <v>68.8</v>
      </c>
      <c r="G381" s="1">
        <v>0</v>
      </c>
      <c r="H381" s="1">
        <v>0</v>
      </c>
      <c r="I381" s="1">
        <v>4.13</v>
      </c>
      <c r="J381" s="1">
        <v>6.88</v>
      </c>
      <c r="K381" s="1">
        <v>79.81</v>
      </c>
      <c r="M381" s="7">
        <f t="shared" si="5"/>
        <v>6.0029069767441864E-2</v>
      </c>
    </row>
    <row r="382" spans="1:13" x14ac:dyDescent="0.4">
      <c r="A382" s="3" t="s">
        <v>297</v>
      </c>
      <c r="B382" s="3" t="s">
        <v>16</v>
      </c>
      <c r="C382" s="3" t="s">
        <v>16</v>
      </c>
      <c r="D382" s="3" t="s">
        <v>16</v>
      </c>
      <c r="E382" s="3">
        <v>114</v>
      </c>
      <c r="F382" s="3">
        <v>4588</v>
      </c>
      <c r="G382" s="3">
        <v>-27.41</v>
      </c>
      <c r="H382" s="3">
        <v>0</v>
      </c>
      <c r="I382" s="3">
        <v>273.64</v>
      </c>
      <c r="J382" s="3">
        <v>417.56</v>
      </c>
      <c r="K382" s="3">
        <v>5251.78</v>
      </c>
      <c r="M382" s="7">
        <f t="shared" si="5"/>
        <v>6.0001008641425775E-2</v>
      </c>
    </row>
    <row r="383" spans="1:13" x14ac:dyDescent="0.4">
      <c r="A383" s="1" t="s">
        <v>297</v>
      </c>
      <c r="B383" s="1" t="s">
        <v>298</v>
      </c>
      <c r="C383" s="1" t="s">
        <v>68</v>
      </c>
      <c r="D383" s="1" t="s">
        <v>16</v>
      </c>
      <c r="E383" s="1">
        <v>29</v>
      </c>
      <c r="F383" s="1">
        <v>1392</v>
      </c>
      <c r="G383" s="1">
        <v>-12.67</v>
      </c>
      <c r="H383" s="1">
        <v>0</v>
      </c>
      <c r="I383" s="1">
        <v>82.76</v>
      </c>
      <c r="J383" s="1">
        <v>128.33000000000001</v>
      </c>
      <c r="K383" s="1">
        <v>1590.42</v>
      </c>
      <c r="M383">
        <f t="shared" si="5"/>
        <v>6.0000144997933789E-2</v>
      </c>
    </row>
    <row r="384" spans="1:13" x14ac:dyDescent="0.4">
      <c r="A384" s="1" t="s">
        <v>297</v>
      </c>
      <c r="B384" s="1" t="s">
        <v>298</v>
      </c>
      <c r="C384" s="1" t="s">
        <v>88</v>
      </c>
      <c r="D384" s="1" t="s">
        <v>16</v>
      </c>
      <c r="E384" s="1">
        <v>3</v>
      </c>
      <c r="F384" s="1">
        <v>264</v>
      </c>
      <c r="G384" s="1">
        <v>0</v>
      </c>
      <c r="H384" s="1">
        <v>0</v>
      </c>
      <c r="I384" s="1">
        <v>15.84</v>
      </c>
      <c r="J384" s="1">
        <v>26.4</v>
      </c>
      <c r="K384" s="1">
        <v>306.24</v>
      </c>
      <c r="M384">
        <f t="shared" si="5"/>
        <v>0.06</v>
      </c>
    </row>
    <row r="385" spans="1:13" x14ac:dyDescent="0.4">
      <c r="A385" s="1" t="s">
        <v>297</v>
      </c>
      <c r="B385" s="1" t="s">
        <v>299</v>
      </c>
      <c r="C385" s="1" t="s">
        <v>68</v>
      </c>
      <c r="D385" s="1" t="s">
        <v>16</v>
      </c>
      <c r="E385" s="1">
        <v>2</v>
      </c>
      <c r="F385" s="1">
        <v>96</v>
      </c>
      <c r="G385" s="1">
        <v>-3.81</v>
      </c>
      <c r="H385" s="1">
        <v>0</v>
      </c>
      <c r="I385" s="1">
        <v>5.53</v>
      </c>
      <c r="J385" s="1">
        <v>9.2200000000000006</v>
      </c>
      <c r="K385" s="1">
        <v>106.94</v>
      </c>
      <c r="M385" s="7">
        <f t="shared" si="5"/>
        <v>5.998481397114655E-2</v>
      </c>
    </row>
    <row r="386" spans="1:13" x14ac:dyDescent="0.4">
      <c r="A386" s="1" t="s">
        <v>297</v>
      </c>
      <c r="B386" s="1" t="s">
        <v>300</v>
      </c>
      <c r="C386" s="1" t="s">
        <v>88</v>
      </c>
      <c r="D386" s="1" t="s">
        <v>16</v>
      </c>
      <c r="E386" s="1">
        <v>1</v>
      </c>
      <c r="F386" s="1">
        <v>48</v>
      </c>
      <c r="G386" s="1">
        <v>0</v>
      </c>
      <c r="H386" s="1">
        <v>0</v>
      </c>
      <c r="I386" s="1">
        <v>2.88</v>
      </c>
      <c r="J386" s="1">
        <v>4.8</v>
      </c>
      <c r="K386" s="1">
        <v>55.68</v>
      </c>
      <c r="M386">
        <f t="shared" si="5"/>
        <v>0.06</v>
      </c>
    </row>
    <row r="387" spans="1:13" x14ac:dyDescent="0.4">
      <c r="A387" s="1" t="s">
        <v>297</v>
      </c>
      <c r="B387" s="1" t="s">
        <v>300</v>
      </c>
      <c r="C387" s="1" t="s">
        <v>68</v>
      </c>
      <c r="D387" s="1" t="s">
        <v>16</v>
      </c>
      <c r="E387" s="1">
        <v>5</v>
      </c>
      <c r="F387" s="1">
        <v>125</v>
      </c>
      <c r="G387" s="1">
        <v>-4.7300000000000004</v>
      </c>
      <c r="H387" s="1">
        <v>0</v>
      </c>
      <c r="I387" s="1">
        <v>7.22</v>
      </c>
      <c r="J387" s="1">
        <v>12.03</v>
      </c>
      <c r="K387" s="1">
        <v>139.51</v>
      </c>
      <c r="M387" s="7">
        <f t="shared" si="5"/>
        <v>6.0031595576619273E-2</v>
      </c>
    </row>
    <row r="388" spans="1:13" x14ac:dyDescent="0.4">
      <c r="A388" s="1" t="s">
        <v>297</v>
      </c>
      <c r="B388" s="1" t="s">
        <v>300</v>
      </c>
      <c r="C388" s="1" t="s">
        <v>91</v>
      </c>
      <c r="D388" s="1" t="s">
        <v>16</v>
      </c>
      <c r="E388" s="1">
        <v>1</v>
      </c>
      <c r="F388" s="1">
        <v>38</v>
      </c>
      <c r="G388" s="1">
        <v>0</v>
      </c>
      <c r="H388" s="1">
        <v>0</v>
      </c>
      <c r="I388" s="1">
        <v>2.2799999999999998</v>
      </c>
      <c r="J388" s="1">
        <v>3.8</v>
      </c>
      <c r="K388" s="1">
        <v>44.08</v>
      </c>
      <c r="M388">
        <f t="shared" si="5"/>
        <v>0.06</v>
      </c>
    </row>
    <row r="389" spans="1:13" x14ac:dyDescent="0.4">
      <c r="A389" s="1" t="s">
        <v>297</v>
      </c>
      <c r="B389" s="1" t="s">
        <v>301</v>
      </c>
      <c r="C389" s="1" t="s">
        <v>68</v>
      </c>
      <c r="D389" s="1" t="s">
        <v>16</v>
      </c>
      <c r="E389" s="1">
        <v>11</v>
      </c>
      <c r="F389" s="1">
        <v>242</v>
      </c>
      <c r="G389" s="1">
        <v>-2.2400000000000002</v>
      </c>
      <c r="H389" s="1">
        <v>0</v>
      </c>
      <c r="I389" s="1">
        <v>14.39</v>
      </c>
      <c r="J389" s="1">
        <v>21.78</v>
      </c>
      <c r="K389" s="1">
        <v>275.92</v>
      </c>
      <c r="M389" s="7">
        <f t="shared" si="5"/>
        <v>6.0018351685018359E-2</v>
      </c>
    </row>
    <row r="390" spans="1:13" x14ac:dyDescent="0.4">
      <c r="A390" s="1" t="s">
        <v>297</v>
      </c>
      <c r="B390" s="1" t="s">
        <v>301</v>
      </c>
      <c r="C390" s="1" t="s">
        <v>88</v>
      </c>
      <c r="D390" s="1" t="s">
        <v>16</v>
      </c>
      <c r="E390" s="1">
        <v>1</v>
      </c>
      <c r="F390" s="1">
        <v>44</v>
      </c>
      <c r="G390" s="1">
        <v>0</v>
      </c>
      <c r="H390" s="1">
        <v>0</v>
      </c>
      <c r="I390" s="1">
        <v>2.64</v>
      </c>
      <c r="J390" s="1">
        <v>4.4000000000000004</v>
      </c>
      <c r="K390" s="1">
        <v>51.04</v>
      </c>
      <c r="M390">
        <f t="shared" si="5"/>
        <v>6.0000000000000005E-2</v>
      </c>
    </row>
    <row r="391" spans="1:13" x14ac:dyDescent="0.4">
      <c r="A391" s="1" t="s">
        <v>297</v>
      </c>
      <c r="B391" s="1" t="s">
        <v>301</v>
      </c>
      <c r="C391" s="1" t="s">
        <v>91</v>
      </c>
      <c r="D391" s="1" t="s">
        <v>16</v>
      </c>
      <c r="E391" s="1">
        <v>3</v>
      </c>
      <c r="F391" s="1">
        <v>99</v>
      </c>
      <c r="G391" s="1">
        <v>0</v>
      </c>
      <c r="H391" s="1">
        <v>0</v>
      </c>
      <c r="I391" s="1">
        <v>5.94</v>
      </c>
      <c r="J391" s="1">
        <v>6.6</v>
      </c>
      <c r="K391" s="1">
        <v>111.54</v>
      </c>
      <c r="M391">
        <f t="shared" si="5"/>
        <v>6.0000000000000005E-2</v>
      </c>
    </row>
    <row r="392" spans="1:13" x14ac:dyDescent="0.4">
      <c r="A392" s="1" t="s">
        <v>297</v>
      </c>
      <c r="B392" s="1" t="s">
        <v>302</v>
      </c>
      <c r="C392" s="1" t="s">
        <v>91</v>
      </c>
      <c r="D392" s="1" t="s">
        <v>16</v>
      </c>
      <c r="E392" s="1">
        <v>2</v>
      </c>
      <c r="F392" s="1">
        <v>76</v>
      </c>
      <c r="G392" s="1">
        <v>0</v>
      </c>
      <c r="H392" s="1">
        <v>0</v>
      </c>
      <c r="I392" s="1">
        <v>4.5599999999999996</v>
      </c>
      <c r="J392" s="1">
        <v>3.8</v>
      </c>
      <c r="K392" s="1">
        <v>84.36</v>
      </c>
      <c r="M392">
        <f t="shared" ref="M392:M429" si="6">I392/(F392+G392)</f>
        <v>0.06</v>
      </c>
    </row>
    <row r="393" spans="1:13" x14ac:dyDescent="0.4">
      <c r="A393" s="1" t="s">
        <v>297</v>
      </c>
      <c r="B393" s="1" t="s">
        <v>302</v>
      </c>
      <c r="C393" s="1" t="s">
        <v>68</v>
      </c>
      <c r="D393" s="1" t="s">
        <v>16</v>
      </c>
      <c r="E393" s="1">
        <v>4</v>
      </c>
      <c r="F393" s="1">
        <v>112</v>
      </c>
      <c r="G393" s="1">
        <v>0</v>
      </c>
      <c r="H393" s="1">
        <v>0</v>
      </c>
      <c r="I393" s="1">
        <v>6.72</v>
      </c>
      <c r="J393" s="1">
        <v>8.4</v>
      </c>
      <c r="K393" s="1">
        <v>127.12</v>
      </c>
      <c r="M393">
        <f t="shared" si="6"/>
        <v>0.06</v>
      </c>
    </row>
    <row r="394" spans="1:13" x14ac:dyDescent="0.4">
      <c r="A394" s="1" t="s">
        <v>297</v>
      </c>
      <c r="B394" s="1" t="s">
        <v>303</v>
      </c>
      <c r="C394" s="1" t="s">
        <v>68</v>
      </c>
      <c r="D394" s="1" t="s">
        <v>16</v>
      </c>
      <c r="E394" s="1">
        <v>3</v>
      </c>
      <c r="F394" s="1">
        <v>66</v>
      </c>
      <c r="G394" s="1">
        <v>0</v>
      </c>
      <c r="H394" s="1">
        <v>0</v>
      </c>
      <c r="I394" s="1">
        <v>3.96</v>
      </c>
      <c r="J394" s="1">
        <v>6.6</v>
      </c>
      <c r="K394" s="1">
        <v>76.56</v>
      </c>
      <c r="M394">
        <f t="shared" si="6"/>
        <v>0.06</v>
      </c>
    </row>
    <row r="395" spans="1:13" x14ac:dyDescent="0.4">
      <c r="A395" s="1" t="s">
        <v>297</v>
      </c>
      <c r="B395" s="1" t="s">
        <v>304</v>
      </c>
      <c r="C395" s="1" t="s">
        <v>91</v>
      </c>
      <c r="D395" s="1" t="s">
        <v>16</v>
      </c>
      <c r="E395" s="1">
        <v>1</v>
      </c>
      <c r="F395" s="1">
        <v>33</v>
      </c>
      <c r="G395" s="1">
        <v>0</v>
      </c>
      <c r="H395" s="1">
        <v>0</v>
      </c>
      <c r="I395" s="1">
        <v>1.98</v>
      </c>
      <c r="J395" s="1">
        <v>3.3</v>
      </c>
      <c r="K395" s="1">
        <v>38.28</v>
      </c>
      <c r="M395">
        <f t="shared" si="6"/>
        <v>0.06</v>
      </c>
    </row>
    <row r="396" spans="1:13" x14ac:dyDescent="0.4">
      <c r="A396" s="1" t="s">
        <v>297</v>
      </c>
      <c r="B396" s="1" t="s">
        <v>304</v>
      </c>
      <c r="C396" s="1" t="s">
        <v>68</v>
      </c>
      <c r="D396" s="1" t="s">
        <v>16</v>
      </c>
      <c r="E396" s="1">
        <v>5</v>
      </c>
      <c r="F396" s="1">
        <v>110</v>
      </c>
      <c r="G396" s="1">
        <v>0</v>
      </c>
      <c r="H396" s="1">
        <v>0</v>
      </c>
      <c r="I396" s="1">
        <v>6.6</v>
      </c>
      <c r="J396" s="1">
        <v>6.6</v>
      </c>
      <c r="K396" s="1">
        <v>123.2</v>
      </c>
      <c r="M396">
        <f t="shared" si="6"/>
        <v>0.06</v>
      </c>
    </row>
    <row r="397" spans="1:13" x14ac:dyDescent="0.4">
      <c r="A397" s="1" t="s">
        <v>297</v>
      </c>
      <c r="B397" s="1" t="s">
        <v>305</v>
      </c>
      <c r="C397" s="1" t="s">
        <v>91</v>
      </c>
      <c r="D397" s="1" t="s">
        <v>16</v>
      </c>
      <c r="E397" s="1">
        <v>1</v>
      </c>
      <c r="F397" s="1">
        <v>38</v>
      </c>
      <c r="G397" s="1">
        <v>0</v>
      </c>
      <c r="H397" s="1">
        <v>0</v>
      </c>
      <c r="I397" s="1">
        <v>2.2799999999999998</v>
      </c>
      <c r="J397" s="1">
        <v>3.8</v>
      </c>
      <c r="K397" s="1">
        <v>44.08</v>
      </c>
      <c r="M397">
        <f t="shared" si="6"/>
        <v>0.06</v>
      </c>
    </row>
    <row r="398" spans="1:13" x14ac:dyDescent="0.4">
      <c r="A398" s="1" t="s">
        <v>297</v>
      </c>
      <c r="B398" s="1" t="s">
        <v>305</v>
      </c>
      <c r="C398" s="1" t="s">
        <v>68</v>
      </c>
      <c r="D398" s="1" t="s">
        <v>16</v>
      </c>
      <c r="E398" s="1">
        <v>3</v>
      </c>
      <c r="F398" s="1">
        <v>75</v>
      </c>
      <c r="G398" s="1">
        <v>0</v>
      </c>
      <c r="H398" s="1">
        <v>0</v>
      </c>
      <c r="I398" s="1">
        <v>4.5</v>
      </c>
      <c r="J398" s="1">
        <v>7.5</v>
      </c>
      <c r="K398" s="1">
        <v>87</v>
      </c>
      <c r="M398">
        <f t="shared" si="6"/>
        <v>0.06</v>
      </c>
    </row>
    <row r="399" spans="1:13" x14ac:dyDescent="0.4">
      <c r="A399" s="1" t="s">
        <v>297</v>
      </c>
      <c r="B399" s="1" t="s">
        <v>306</v>
      </c>
      <c r="C399" s="1" t="s">
        <v>88</v>
      </c>
      <c r="D399" s="1" t="s">
        <v>16</v>
      </c>
      <c r="E399" s="1">
        <v>1</v>
      </c>
      <c r="F399" s="1">
        <v>88</v>
      </c>
      <c r="G399" s="1">
        <v>0</v>
      </c>
      <c r="H399" s="1">
        <v>0</v>
      </c>
      <c r="I399" s="1">
        <v>5.28</v>
      </c>
      <c r="J399" s="1">
        <v>8.8000000000000007</v>
      </c>
      <c r="K399" s="1">
        <v>102.08</v>
      </c>
      <c r="M399">
        <f t="shared" si="6"/>
        <v>6.0000000000000005E-2</v>
      </c>
    </row>
    <row r="400" spans="1:13" x14ac:dyDescent="0.4">
      <c r="A400" s="1" t="s">
        <v>297</v>
      </c>
      <c r="B400" s="1" t="s">
        <v>306</v>
      </c>
      <c r="C400" s="1" t="s">
        <v>68</v>
      </c>
      <c r="D400" s="1" t="s">
        <v>16</v>
      </c>
      <c r="E400" s="1">
        <v>25</v>
      </c>
      <c r="F400" s="1">
        <v>1200</v>
      </c>
      <c r="G400" s="1">
        <v>0</v>
      </c>
      <c r="H400" s="1">
        <v>0</v>
      </c>
      <c r="I400" s="1">
        <v>72</v>
      </c>
      <c r="J400" s="1">
        <v>110.4</v>
      </c>
      <c r="K400" s="1">
        <v>1382.4</v>
      </c>
      <c r="M400">
        <f t="shared" si="6"/>
        <v>0.06</v>
      </c>
    </row>
    <row r="401" spans="1:13" x14ac:dyDescent="0.4">
      <c r="A401" s="1" t="s">
        <v>297</v>
      </c>
      <c r="B401" s="1" t="s">
        <v>307</v>
      </c>
      <c r="C401" s="1" t="s">
        <v>91</v>
      </c>
      <c r="D401" s="1" t="s">
        <v>16</v>
      </c>
      <c r="E401" s="1">
        <v>1</v>
      </c>
      <c r="F401" s="1">
        <v>38</v>
      </c>
      <c r="G401" s="1">
        <v>-3.96</v>
      </c>
      <c r="H401" s="1">
        <v>0</v>
      </c>
      <c r="I401" s="1">
        <v>2.04</v>
      </c>
      <c r="J401" s="1">
        <v>3.4</v>
      </c>
      <c r="K401" s="1">
        <v>39.49</v>
      </c>
      <c r="M401" s="7">
        <f t="shared" si="6"/>
        <v>5.9929494712103411E-2</v>
      </c>
    </row>
    <row r="402" spans="1:13" x14ac:dyDescent="0.4">
      <c r="A402" s="1" t="s">
        <v>297</v>
      </c>
      <c r="B402" s="1" t="s">
        <v>308</v>
      </c>
      <c r="C402" s="1" t="s">
        <v>68</v>
      </c>
      <c r="D402" s="1" t="s">
        <v>16</v>
      </c>
      <c r="E402" s="1">
        <v>1</v>
      </c>
      <c r="F402" s="1">
        <v>48</v>
      </c>
      <c r="G402" s="1">
        <v>0</v>
      </c>
      <c r="H402" s="1">
        <v>0</v>
      </c>
      <c r="I402" s="1">
        <v>2.88</v>
      </c>
      <c r="J402" s="1">
        <v>4.8</v>
      </c>
      <c r="K402" s="1">
        <v>55.68</v>
      </c>
      <c r="M402">
        <f t="shared" si="6"/>
        <v>0.06</v>
      </c>
    </row>
    <row r="403" spans="1:13" x14ac:dyDescent="0.4">
      <c r="A403" s="1" t="s">
        <v>297</v>
      </c>
      <c r="B403" s="1" t="s">
        <v>309</v>
      </c>
      <c r="C403" s="1" t="s">
        <v>68</v>
      </c>
      <c r="D403" s="1" t="s">
        <v>16</v>
      </c>
      <c r="E403" s="1">
        <v>1</v>
      </c>
      <c r="F403" s="1">
        <v>22</v>
      </c>
      <c r="G403" s="1">
        <v>0</v>
      </c>
      <c r="H403" s="1">
        <v>0</v>
      </c>
      <c r="I403" s="1">
        <v>1.32</v>
      </c>
      <c r="J403" s="1">
        <v>2.2000000000000002</v>
      </c>
      <c r="K403" s="1">
        <v>25.52</v>
      </c>
      <c r="M403">
        <f t="shared" si="6"/>
        <v>6.0000000000000005E-2</v>
      </c>
    </row>
    <row r="404" spans="1:13" x14ac:dyDescent="0.4">
      <c r="A404" s="1" t="s">
        <v>297</v>
      </c>
      <c r="B404" s="1" t="s">
        <v>310</v>
      </c>
      <c r="C404" s="1" t="s">
        <v>68</v>
      </c>
      <c r="D404" s="1" t="s">
        <v>16</v>
      </c>
      <c r="E404" s="1">
        <v>3</v>
      </c>
      <c r="F404" s="1">
        <v>66</v>
      </c>
      <c r="G404" s="1">
        <v>0</v>
      </c>
      <c r="H404" s="1">
        <v>0</v>
      </c>
      <c r="I404" s="1">
        <v>3.96</v>
      </c>
      <c r="J404" s="1">
        <v>6.6</v>
      </c>
      <c r="K404" s="1">
        <v>76.56</v>
      </c>
      <c r="M404">
        <f t="shared" si="6"/>
        <v>0.06</v>
      </c>
    </row>
    <row r="405" spans="1:13" x14ac:dyDescent="0.4">
      <c r="A405" s="1" t="s">
        <v>297</v>
      </c>
      <c r="B405" s="1" t="s">
        <v>311</v>
      </c>
      <c r="C405" s="1" t="s">
        <v>68</v>
      </c>
      <c r="D405" s="1" t="s">
        <v>16</v>
      </c>
      <c r="E405" s="1">
        <v>1</v>
      </c>
      <c r="F405" s="1">
        <v>28</v>
      </c>
      <c r="G405" s="1">
        <v>0</v>
      </c>
      <c r="H405" s="1">
        <v>0</v>
      </c>
      <c r="I405" s="1">
        <v>1.68</v>
      </c>
      <c r="J405" s="1">
        <v>2.8</v>
      </c>
      <c r="K405" s="1">
        <v>32.479999999999997</v>
      </c>
      <c r="M405">
        <f t="shared" si="6"/>
        <v>0.06</v>
      </c>
    </row>
    <row r="406" spans="1:13" x14ac:dyDescent="0.4">
      <c r="A406" s="1" t="s">
        <v>297</v>
      </c>
      <c r="B406" s="1" t="s">
        <v>312</v>
      </c>
      <c r="C406" s="1" t="s">
        <v>68</v>
      </c>
      <c r="D406" s="1" t="s">
        <v>16</v>
      </c>
      <c r="E406" s="1">
        <v>2</v>
      </c>
      <c r="F406" s="1">
        <v>56</v>
      </c>
      <c r="G406" s="1">
        <v>0</v>
      </c>
      <c r="H406" s="1">
        <v>0</v>
      </c>
      <c r="I406" s="1">
        <v>3.36</v>
      </c>
      <c r="J406" s="1">
        <v>2.8</v>
      </c>
      <c r="K406" s="1">
        <v>62.16</v>
      </c>
      <c r="M406">
        <f t="shared" si="6"/>
        <v>0.06</v>
      </c>
    </row>
    <row r="407" spans="1:13" x14ac:dyDescent="0.4">
      <c r="A407" s="1" t="s">
        <v>297</v>
      </c>
      <c r="B407" s="1" t="s">
        <v>313</v>
      </c>
      <c r="C407" s="1" t="s">
        <v>16</v>
      </c>
      <c r="D407" s="1" t="s">
        <v>16</v>
      </c>
      <c r="E407" s="1">
        <v>3</v>
      </c>
      <c r="F407" s="1">
        <v>159</v>
      </c>
      <c r="G407" s="1">
        <v>0</v>
      </c>
      <c r="H407" s="1">
        <v>0</v>
      </c>
      <c r="I407" s="1">
        <v>9.5399999999999991</v>
      </c>
      <c r="J407" s="1">
        <v>15.9</v>
      </c>
      <c r="K407" s="1">
        <v>184.44</v>
      </c>
      <c r="M407">
        <f t="shared" si="6"/>
        <v>0.06</v>
      </c>
    </row>
    <row r="408" spans="1:13" x14ac:dyDescent="0.4">
      <c r="A408" s="1" t="s">
        <v>297</v>
      </c>
      <c r="B408" s="1" t="s">
        <v>314</v>
      </c>
      <c r="C408" s="1" t="s">
        <v>68</v>
      </c>
      <c r="D408" s="1" t="s">
        <v>16</v>
      </c>
      <c r="E408" s="1">
        <v>1</v>
      </c>
      <c r="F408" s="1">
        <v>25</v>
      </c>
      <c r="G408" s="1">
        <v>0</v>
      </c>
      <c r="H408" s="1">
        <v>0</v>
      </c>
      <c r="I408" s="1">
        <v>1.5</v>
      </c>
      <c r="J408" s="1">
        <v>2.5</v>
      </c>
      <c r="K408" s="1">
        <v>29</v>
      </c>
      <c r="M408">
        <f t="shared" si="6"/>
        <v>0.06</v>
      </c>
    </row>
    <row r="409" spans="1:13" x14ac:dyDescent="0.4">
      <c r="A409" s="3" t="s">
        <v>315</v>
      </c>
      <c r="B409" s="3" t="s">
        <v>16</v>
      </c>
      <c r="C409" s="3" t="s">
        <v>16</v>
      </c>
      <c r="D409" s="3" t="s">
        <v>16</v>
      </c>
      <c r="E409" s="3">
        <v>90</v>
      </c>
      <c r="F409" s="3">
        <v>1804.6</v>
      </c>
      <c r="G409" s="3">
        <v>-22.88</v>
      </c>
      <c r="H409" s="3">
        <v>0</v>
      </c>
      <c r="I409" s="3">
        <v>106.9</v>
      </c>
      <c r="J409" s="3">
        <v>161.57</v>
      </c>
      <c r="K409" s="3">
        <v>2050.1999999999998</v>
      </c>
      <c r="M409" s="7">
        <f t="shared" si="6"/>
        <v>5.999820398266844E-2</v>
      </c>
    </row>
    <row r="410" spans="1:13" x14ac:dyDescent="0.4">
      <c r="A410" s="1" t="s">
        <v>315</v>
      </c>
      <c r="B410" s="1" t="s">
        <v>316</v>
      </c>
      <c r="C410" s="1" t="s">
        <v>68</v>
      </c>
      <c r="D410" s="1" t="s">
        <v>16</v>
      </c>
      <c r="E410" s="1">
        <v>2</v>
      </c>
      <c r="F410" s="1">
        <v>40</v>
      </c>
      <c r="G410" s="1">
        <v>0</v>
      </c>
      <c r="H410" s="1">
        <v>0</v>
      </c>
      <c r="I410" s="1">
        <v>2.4</v>
      </c>
      <c r="J410" s="1">
        <v>4</v>
      </c>
      <c r="K410" s="1">
        <v>46.4</v>
      </c>
      <c r="M410">
        <f t="shared" si="6"/>
        <v>0.06</v>
      </c>
    </row>
    <row r="411" spans="1:13" x14ac:dyDescent="0.4">
      <c r="A411" s="1" t="s">
        <v>315</v>
      </c>
      <c r="B411" s="1" t="s">
        <v>317</v>
      </c>
      <c r="C411" s="1" t="s">
        <v>91</v>
      </c>
      <c r="D411" s="1" t="s">
        <v>16</v>
      </c>
      <c r="E411" s="1">
        <v>2</v>
      </c>
      <c r="F411" s="1">
        <v>40</v>
      </c>
      <c r="G411" s="1">
        <v>0</v>
      </c>
      <c r="H411" s="1">
        <v>0</v>
      </c>
      <c r="I411" s="1">
        <v>2.4</v>
      </c>
      <c r="J411" s="1">
        <v>4</v>
      </c>
      <c r="K411" s="1">
        <v>46.4</v>
      </c>
      <c r="M411">
        <f t="shared" si="6"/>
        <v>0.06</v>
      </c>
    </row>
    <row r="412" spans="1:13" x14ac:dyDescent="0.4">
      <c r="A412" s="1" t="s">
        <v>315</v>
      </c>
      <c r="B412" s="1" t="s">
        <v>317</v>
      </c>
      <c r="C412" s="1" t="s">
        <v>68</v>
      </c>
      <c r="D412" s="1" t="s">
        <v>16</v>
      </c>
      <c r="E412" s="1">
        <v>5</v>
      </c>
      <c r="F412" s="1">
        <v>75</v>
      </c>
      <c r="G412" s="1">
        <v>0</v>
      </c>
      <c r="H412" s="1">
        <v>0</v>
      </c>
      <c r="I412" s="1">
        <v>4.5</v>
      </c>
      <c r="J412" s="1">
        <v>7.5</v>
      </c>
      <c r="K412" s="1">
        <v>87</v>
      </c>
      <c r="M412">
        <f t="shared" si="6"/>
        <v>0.06</v>
      </c>
    </row>
    <row r="413" spans="1:13" x14ac:dyDescent="0.4">
      <c r="A413" s="1" t="s">
        <v>315</v>
      </c>
      <c r="B413" s="1" t="s">
        <v>318</v>
      </c>
      <c r="C413" s="1" t="s">
        <v>88</v>
      </c>
      <c r="D413" s="1" t="s">
        <v>16</v>
      </c>
      <c r="E413" s="1">
        <v>1</v>
      </c>
      <c r="F413" s="1">
        <v>25</v>
      </c>
      <c r="G413" s="1">
        <v>-1.98</v>
      </c>
      <c r="H413" s="1">
        <v>0</v>
      </c>
      <c r="I413" s="1">
        <v>1.38</v>
      </c>
      <c r="J413" s="1">
        <v>2.2999999999999998</v>
      </c>
      <c r="K413" s="1">
        <v>26.7</v>
      </c>
      <c r="M413" s="7">
        <f t="shared" si="6"/>
        <v>5.9947871416159856E-2</v>
      </c>
    </row>
    <row r="414" spans="1:13" x14ac:dyDescent="0.4">
      <c r="A414" s="1" t="s">
        <v>315</v>
      </c>
      <c r="B414" s="1" t="s">
        <v>318</v>
      </c>
      <c r="C414" s="1" t="s">
        <v>68</v>
      </c>
      <c r="D414" s="1" t="s">
        <v>16</v>
      </c>
      <c r="E414" s="1">
        <v>5</v>
      </c>
      <c r="F414" s="1">
        <v>75</v>
      </c>
      <c r="G414" s="1">
        <v>0</v>
      </c>
      <c r="H414" s="1">
        <v>0</v>
      </c>
      <c r="I414" s="1">
        <v>4.5</v>
      </c>
      <c r="J414" s="1">
        <v>7.5</v>
      </c>
      <c r="K414" s="1">
        <v>87</v>
      </c>
      <c r="M414">
        <f t="shared" si="6"/>
        <v>0.06</v>
      </c>
    </row>
    <row r="415" spans="1:13" x14ac:dyDescent="0.4">
      <c r="A415" s="1" t="s">
        <v>315</v>
      </c>
      <c r="B415" s="1" t="s">
        <v>319</v>
      </c>
      <c r="C415" s="1" t="s">
        <v>68</v>
      </c>
      <c r="D415" s="1" t="s">
        <v>16</v>
      </c>
      <c r="E415" s="1">
        <v>1</v>
      </c>
      <c r="F415" s="1">
        <v>15</v>
      </c>
      <c r="G415" s="1">
        <v>0</v>
      </c>
      <c r="H415" s="1">
        <v>0</v>
      </c>
      <c r="I415" s="1">
        <v>0.9</v>
      </c>
      <c r="J415" s="1">
        <v>0</v>
      </c>
      <c r="K415" s="1">
        <v>15.9</v>
      </c>
      <c r="M415">
        <f t="shared" si="6"/>
        <v>6.0000000000000005E-2</v>
      </c>
    </row>
    <row r="416" spans="1:13" x14ac:dyDescent="0.4">
      <c r="A416" s="1" t="s">
        <v>315</v>
      </c>
      <c r="B416" s="1" t="s">
        <v>319</v>
      </c>
      <c r="C416" s="1" t="s">
        <v>88</v>
      </c>
      <c r="D416" s="1" t="s">
        <v>16</v>
      </c>
      <c r="E416" s="1">
        <v>1</v>
      </c>
      <c r="F416" s="1">
        <v>25</v>
      </c>
      <c r="G416" s="1">
        <v>0</v>
      </c>
      <c r="H416" s="1">
        <v>0</v>
      </c>
      <c r="I416" s="1">
        <v>1.5</v>
      </c>
      <c r="J416" s="1">
        <v>2.5</v>
      </c>
      <c r="K416" s="1">
        <v>29</v>
      </c>
      <c r="M416">
        <f t="shared" si="6"/>
        <v>0.06</v>
      </c>
    </row>
    <row r="417" spans="1:13" x14ac:dyDescent="0.4">
      <c r="A417" s="1" t="s">
        <v>315</v>
      </c>
      <c r="B417" s="1" t="s">
        <v>319</v>
      </c>
      <c r="C417" s="1" t="s">
        <v>91</v>
      </c>
      <c r="D417" s="1" t="s">
        <v>16</v>
      </c>
      <c r="E417" s="1">
        <v>1</v>
      </c>
      <c r="F417" s="1">
        <v>20</v>
      </c>
      <c r="G417" s="1">
        <v>0</v>
      </c>
      <c r="H417" s="1">
        <v>0</v>
      </c>
      <c r="I417" s="1">
        <v>1.2</v>
      </c>
      <c r="J417" s="1">
        <v>2</v>
      </c>
      <c r="K417" s="1">
        <v>23.2</v>
      </c>
      <c r="M417">
        <f t="shared" si="6"/>
        <v>0.06</v>
      </c>
    </row>
    <row r="418" spans="1:13" x14ac:dyDescent="0.4">
      <c r="A418" s="1" t="s">
        <v>315</v>
      </c>
      <c r="B418" s="1" t="s">
        <v>320</v>
      </c>
      <c r="C418" s="1" t="s">
        <v>68</v>
      </c>
      <c r="D418" s="1" t="s">
        <v>16</v>
      </c>
      <c r="E418" s="1">
        <v>2</v>
      </c>
      <c r="F418" s="1">
        <v>30</v>
      </c>
      <c r="G418" s="1">
        <v>0</v>
      </c>
      <c r="H418" s="1">
        <v>0</v>
      </c>
      <c r="I418" s="1">
        <v>1.8</v>
      </c>
      <c r="J418" s="1">
        <v>3</v>
      </c>
      <c r="K418" s="1">
        <v>34.799999999999997</v>
      </c>
      <c r="M418">
        <f t="shared" si="6"/>
        <v>6.0000000000000005E-2</v>
      </c>
    </row>
    <row r="419" spans="1:13" x14ac:dyDescent="0.4">
      <c r="A419" s="1" t="s">
        <v>315</v>
      </c>
      <c r="B419" s="1" t="s">
        <v>321</v>
      </c>
      <c r="C419" s="1" t="s">
        <v>68</v>
      </c>
      <c r="D419" s="1" t="s">
        <v>16</v>
      </c>
      <c r="E419" s="1">
        <v>3</v>
      </c>
      <c r="F419" s="1">
        <v>54</v>
      </c>
      <c r="G419" s="1">
        <v>0</v>
      </c>
      <c r="H419" s="1">
        <v>0</v>
      </c>
      <c r="I419" s="1">
        <v>3.24</v>
      </c>
      <c r="J419" s="1">
        <v>5.4</v>
      </c>
      <c r="K419" s="1">
        <v>62.64</v>
      </c>
      <c r="M419">
        <f t="shared" si="6"/>
        <v>6.0000000000000005E-2</v>
      </c>
    </row>
    <row r="420" spans="1:13" x14ac:dyDescent="0.4">
      <c r="A420" s="1" t="s">
        <v>315</v>
      </c>
      <c r="B420" s="1" t="s">
        <v>322</v>
      </c>
      <c r="C420" s="1" t="s">
        <v>91</v>
      </c>
      <c r="D420" s="1" t="s">
        <v>16</v>
      </c>
      <c r="E420" s="1">
        <v>6</v>
      </c>
      <c r="F420" s="1">
        <v>144</v>
      </c>
      <c r="G420" s="1">
        <v>-2.4500000000000002</v>
      </c>
      <c r="H420" s="1">
        <v>0</v>
      </c>
      <c r="I420" s="1">
        <v>8.49</v>
      </c>
      <c r="J420" s="1">
        <v>11.76</v>
      </c>
      <c r="K420" s="1">
        <v>161.80000000000001</v>
      </c>
      <c r="M420" s="7">
        <f t="shared" si="6"/>
        <v>5.997880607559166E-2</v>
      </c>
    </row>
    <row r="421" spans="1:13" x14ac:dyDescent="0.4">
      <c r="A421" s="1" t="s">
        <v>315</v>
      </c>
      <c r="B421" s="1" t="s">
        <v>322</v>
      </c>
      <c r="C421" s="1" t="s">
        <v>88</v>
      </c>
      <c r="D421" s="1" t="s">
        <v>16</v>
      </c>
      <c r="E421" s="1">
        <v>5</v>
      </c>
      <c r="F421" s="1">
        <v>150</v>
      </c>
      <c r="G421" s="1">
        <v>-5.69</v>
      </c>
      <c r="H421" s="1">
        <v>0</v>
      </c>
      <c r="I421" s="1">
        <v>8.66</v>
      </c>
      <c r="J421" s="1">
        <v>14.43</v>
      </c>
      <c r="K421" s="1">
        <v>167.4</v>
      </c>
      <c r="M421" s="7">
        <f t="shared" si="6"/>
        <v>6.0009701337398656E-2</v>
      </c>
    </row>
    <row r="422" spans="1:13" x14ac:dyDescent="0.4">
      <c r="A422" s="1" t="s">
        <v>315</v>
      </c>
      <c r="B422" s="1" t="s">
        <v>322</v>
      </c>
      <c r="C422" s="1" t="s">
        <v>68</v>
      </c>
      <c r="D422" s="1" t="s">
        <v>16</v>
      </c>
      <c r="E422" s="1">
        <v>15</v>
      </c>
      <c r="F422" s="1">
        <v>270</v>
      </c>
      <c r="G422" s="1">
        <v>0</v>
      </c>
      <c r="H422" s="1">
        <v>0</v>
      </c>
      <c r="I422" s="1">
        <v>16.2</v>
      </c>
      <c r="J422" s="1">
        <v>25.2</v>
      </c>
      <c r="K422" s="1">
        <v>311.39999999999998</v>
      </c>
      <c r="M422">
        <f t="shared" si="6"/>
        <v>0.06</v>
      </c>
    </row>
    <row r="423" spans="1:13" x14ac:dyDescent="0.4">
      <c r="A423" s="1" t="s">
        <v>315</v>
      </c>
      <c r="B423" s="1" t="s">
        <v>323</v>
      </c>
      <c r="C423" s="1" t="s">
        <v>16</v>
      </c>
      <c r="D423" s="1" t="s">
        <v>16</v>
      </c>
      <c r="E423" s="1">
        <v>2</v>
      </c>
      <c r="F423" s="1">
        <v>5.6</v>
      </c>
      <c r="G423" s="1">
        <v>0</v>
      </c>
      <c r="H423" s="1">
        <v>0</v>
      </c>
      <c r="I423" s="1">
        <v>0.34</v>
      </c>
      <c r="J423" s="1">
        <v>0.56000000000000005</v>
      </c>
      <c r="K423" s="1">
        <v>6.5</v>
      </c>
      <c r="M423" s="7">
        <f t="shared" si="6"/>
        <v>6.0714285714285721E-2</v>
      </c>
    </row>
    <row r="424" spans="1:13" x14ac:dyDescent="0.4">
      <c r="A424" s="1" t="s">
        <v>315</v>
      </c>
      <c r="B424" s="1" t="s">
        <v>324</v>
      </c>
      <c r="C424" s="1" t="s">
        <v>88</v>
      </c>
      <c r="D424" s="1" t="s">
        <v>16</v>
      </c>
      <c r="E424" s="1">
        <v>2</v>
      </c>
      <c r="F424" s="1">
        <v>60</v>
      </c>
      <c r="G424" s="1">
        <v>0</v>
      </c>
      <c r="H424" s="1">
        <v>0</v>
      </c>
      <c r="I424" s="1">
        <v>3.6</v>
      </c>
      <c r="J424" s="1">
        <v>6</v>
      </c>
      <c r="K424" s="1">
        <v>69.599999999999994</v>
      </c>
      <c r="M424">
        <f t="shared" si="6"/>
        <v>6.0000000000000005E-2</v>
      </c>
    </row>
    <row r="425" spans="1:13" x14ac:dyDescent="0.4">
      <c r="A425" s="1" t="s">
        <v>315</v>
      </c>
      <c r="B425" s="1" t="s">
        <v>324</v>
      </c>
      <c r="C425" s="1" t="s">
        <v>91</v>
      </c>
      <c r="D425" s="1" t="s">
        <v>16</v>
      </c>
      <c r="E425" s="1">
        <v>2</v>
      </c>
      <c r="F425" s="1">
        <v>50</v>
      </c>
      <c r="G425" s="1">
        <v>0</v>
      </c>
      <c r="H425" s="1">
        <v>0</v>
      </c>
      <c r="I425" s="1">
        <v>3</v>
      </c>
      <c r="J425" s="1">
        <v>2.5</v>
      </c>
      <c r="K425" s="1">
        <v>55.5</v>
      </c>
      <c r="M425">
        <f t="shared" si="6"/>
        <v>0.06</v>
      </c>
    </row>
    <row r="426" spans="1:13" x14ac:dyDescent="0.4">
      <c r="A426" s="1" t="s">
        <v>315</v>
      </c>
      <c r="B426" s="1" t="s">
        <v>324</v>
      </c>
      <c r="C426" s="1" t="s">
        <v>68</v>
      </c>
      <c r="D426" s="1" t="s">
        <v>16</v>
      </c>
      <c r="E426" s="1">
        <v>3</v>
      </c>
      <c r="F426" s="1">
        <v>60</v>
      </c>
      <c r="G426" s="1">
        <v>-3.43</v>
      </c>
      <c r="H426" s="1">
        <v>0</v>
      </c>
      <c r="I426" s="1">
        <v>3.39</v>
      </c>
      <c r="J426" s="1">
        <v>5.66</v>
      </c>
      <c r="K426" s="1">
        <v>65.62</v>
      </c>
      <c r="M426" s="7">
        <f t="shared" si="6"/>
        <v>5.9925755700901542E-2</v>
      </c>
    </row>
    <row r="427" spans="1:13" x14ac:dyDescent="0.4">
      <c r="A427" s="1" t="s">
        <v>315</v>
      </c>
      <c r="B427" s="1" t="s">
        <v>325</v>
      </c>
      <c r="C427" s="1" t="s">
        <v>91</v>
      </c>
      <c r="D427" s="1" t="s">
        <v>16</v>
      </c>
      <c r="E427" s="1">
        <v>13</v>
      </c>
      <c r="F427" s="1">
        <v>312</v>
      </c>
      <c r="G427" s="1">
        <v>-7.53</v>
      </c>
      <c r="H427" s="1">
        <v>0</v>
      </c>
      <c r="I427" s="1">
        <v>18.27</v>
      </c>
      <c r="J427" s="1">
        <v>25.65</v>
      </c>
      <c r="K427" s="1">
        <v>348.39</v>
      </c>
      <c r="M427" s="7">
        <f t="shared" si="6"/>
        <v>6.0005911912503686E-2</v>
      </c>
    </row>
    <row r="428" spans="1:13" x14ac:dyDescent="0.4">
      <c r="A428" s="1" t="s">
        <v>315</v>
      </c>
      <c r="B428" s="1" t="s">
        <v>325</v>
      </c>
      <c r="C428" s="1" t="s">
        <v>88</v>
      </c>
      <c r="D428" s="1" t="s">
        <v>16</v>
      </c>
      <c r="E428" s="1">
        <v>1</v>
      </c>
      <c r="F428" s="1">
        <v>30</v>
      </c>
      <c r="G428" s="1">
        <v>0</v>
      </c>
      <c r="H428" s="1">
        <v>0</v>
      </c>
      <c r="I428" s="1">
        <v>1.8</v>
      </c>
      <c r="J428" s="1">
        <v>3</v>
      </c>
      <c r="K428" s="1">
        <v>34.799999999999997</v>
      </c>
      <c r="M428">
        <f t="shared" si="6"/>
        <v>6.0000000000000005E-2</v>
      </c>
    </row>
    <row r="429" spans="1:13" x14ac:dyDescent="0.4">
      <c r="A429" s="1" t="s">
        <v>315</v>
      </c>
      <c r="B429" s="1" t="s">
        <v>325</v>
      </c>
      <c r="C429" s="1" t="s">
        <v>68</v>
      </c>
      <c r="D429" s="1" t="s">
        <v>16</v>
      </c>
      <c r="E429" s="1">
        <v>18</v>
      </c>
      <c r="F429" s="1">
        <v>324</v>
      </c>
      <c r="G429" s="1">
        <v>-1.8</v>
      </c>
      <c r="H429" s="1">
        <v>0</v>
      </c>
      <c r="I429" s="1">
        <v>19.329999999999998</v>
      </c>
      <c r="J429" s="1">
        <v>28.62</v>
      </c>
      <c r="K429" s="1">
        <v>370.15</v>
      </c>
      <c r="M429" s="7">
        <f t="shared" si="6"/>
        <v>5.999379267535692E-2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2025-12-10T04:59:42Z</dcterms:created>
  <dcterms:modified xsi:type="dcterms:W3CDTF">2026-02-05T14:31:52Z</dcterms:modified>
</cp:coreProperties>
</file>