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60"/>
  </bookViews>
  <sheets>
    <sheet name="1. (2)" sheetId="2" r:id="rId1"/>
    <sheet name="1.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<sst xmlns="http://schemas.openxmlformats.org/spreadsheetml/2006/main" count="183" uniqueCount="76">
  <si>
    <t>Daily sales</t>
  </si>
  <si>
    <t>Date: 01/07/2025 - 31/07/2025</t>
  </si>
  <si>
    <t>Time: 00:00 - 23:59</t>
  </si>
  <si>
    <t>Merchant: 肥肥蟹海鲜饭店 Mount Austin Fei Fei Crab Restaurant JB</t>
  </si>
  <si>
    <t>Time</t>
  </si>
  <si>
    <t>Gross</t>
  </si>
  <si>
    <t>Discount</t>
  </si>
  <si>
    <t>SST</t>
  </si>
  <si>
    <t>SC</t>
  </si>
  <si>
    <t>Other Charge</t>
  </si>
  <si>
    <t>Delivery fee</t>
  </si>
  <si>
    <t>Rounding</t>
  </si>
  <si>
    <t>Nett</t>
  </si>
  <si>
    <t>AMEX</t>
  </si>
  <si>
    <t>CASH</t>
  </si>
  <si>
    <t>Grab dine out deals</t>
  </si>
  <si>
    <t>GRAB PAY</t>
  </si>
  <si>
    <t>MASTER</t>
  </si>
  <si>
    <t>MY DEBIT</t>
  </si>
  <si>
    <t>ONLINE BANKING</t>
  </si>
  <si>
    <t>TOUCH N GO</t>
  </si>
  <si>
    <t>UNION PAY</t>
  </si>
  <si>
    <t>VISA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</si>
  <si>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</si>
  <si>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</si>
  <si>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</si>
  <si>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</si>
  <si>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</si>
  <si>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</si>
  <si>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</si>
  <si>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</si>
  <si>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</si>
  <si>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</si>
  <si>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</si>
  <si>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</si>
  <si>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</si>
  <si>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</si>
  <si>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</si>
  <si>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</si>
  <si>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</si>
  <si>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</si>
  <si>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</si>
  <si>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</si>
  <si>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</si>
  <si>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</si>
  <si>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</si>
  <si>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</si>
  <si>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</si>
  <si>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</si>
  <si>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</si>
  <si>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</si>
  <si>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</si>
  <si>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</si>
  <si>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</si>
  <si>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/>
  </si>
  <si>
    <t>deduct MFD 
(Merchant Funded Discount)</t>
  </si>
  <si>
    <t>deduct GF Commission
(including tax)</t>
  </si>
  <si>
    <t>net GF Dine Out Deals
payment received</t>
  </si>
  <si>
    <t>from statement</t>
  </si>
  <si>
    <t>visa</t>
  </si>
  <si>
    <t>master</t>
  </si>
  <si>
    <t>mydebit</t>
  </si>
  <si>
    <t>unionpay</t>
  </si>
  <si>
    <t>Amex</t>
  </si>
  <si>
    <t>Total</t>
  </si>
  <si>
    <t>pay date</t>
  </si>
  <si>
    <t>Customer pay
amount</t>
  </si>
  <si>
    <t>bank actual 
received</t>
  </si>
  <si>
    <t>Amex charge</t>
  </si>
  <si>
    <t>12/7</t>
  </si>
  <si>
    <t>13/7</t>
  </si>
  <si>
    <t>26/7</t>
  </si>
  <si>
    <t>Name</t>
  </si>
  <si>
    <t>Qty</t>
  </si>
  <si>
    <t>Pax</t>
  </si>
  <si>
    <t>肥肥蟹海鲜饭店 Mount Austin Fei Fei Crab Restaurant JB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</si>
</sst>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9"/>
      <color theme="1"/>
      <name val="Tahoma"/>
      <charset val="134"/>
    </font>
    <font>
      <b/>
      <sz val="9"/>
      <color theme="1"/>
      <name val="Tahoma"/>
      <charset val="134"/>
    </font>
    <font>
      <b/>
      <sz val="14"/>
      <color theme="1"/>
      <name val="Tahoma"/>
      <charset val="134"/>
    </font>
    <font>
      <i/>
      <sz val="9"/>
      <color rgb="FFFF0000"/>
      <name val="Tahoma"/>
      <charset val="134"/>
    </font>
    <font>
      <sz val="9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4" borderId="1" xfId="0" applyFont="1" applyFill="1" applyBorder="1" applyAlignment="1">
      <alignment wrapText="1"/>
    </xf>
    <xf numFmtId="2" fontId="4" fillId="4" borderId="1" xfId="0" applyNumberFormat="1" applyFont="1" applyFill="1" applyBorder="1"/>
    <xf numFmtId="2" fontId="4" fillId="0" borderId="1" xfId="0" applyNumberFormat="1" applyFont="1" applyBorder="1"/>
    <xf numFmtId="0" fontId="3" fillId="0" borderId="0" xfId="0" applyFont="1"/>
    <xf numFmtId="0" fontId="5" fillId="0" borderId="2" xfId="0" applyFont="1" applyBorder="1" applyAlignment="1">
      <alignment horizontal="center"/>
    </xf>
    <xf numFmtId="2" fontId="3" fillId="0" borderId="1" xfId="0" applyNumberFormat="1" applyFont="1" applyBorder="1" applyAlignment="1">
      <alignment wrapText="1"/>
    </xf>
    <xf numFmtId="49" fontId="3" fillId="0" borderId="1" xfId="0" applyNumberFormat="1" applyFont="1" applyBorder="1"/>
    <xf numFmtId="0" fontId="3" fillId="5" borderId="1" xfId="0" applyFont="1" applyFill="1" applyBorder="1"/>
    <xf numFmtId="2" fontId="3" fillId="0" borderId="1" xfId="0" applyNumberFormat="1" applyFont="1" applyBorder="1"/>
    <xf numFmtId="2" fontId="3" fillId="5" borderId="1" xfId="0" applyNumberFormat="1" applyFont="1" applyFill="1" applyBorder="1"/>
    <xf numFmtId="0" fontId="3" fillId="4" borderId="0" xfId="0" applyFont="1" applyFill="1"/>
    <xf numFmtId="2" fontId="3" fillId="4" borderId="0" xfId="0" applyNumberFormat="1" applyFont="1" applyFill="1"/>
    <xf numFmtId="176" fontId="3" fillId="6" borderId="1" xfId="0" applyNumberFormat="1" applyFont="1" applyFill="1" applyBorder="1"/>
    <xf numFmtId="2" fontId="6" fillId="0" borderId="0" xfId="0" applyNumberFormat="1" applyFont="1"/>
    <xf numFmtId="2" fontId="3" fillId="6" borderId="0" xfId="0" applyNumberFormat="1" applyFont="1" applyFill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"/>
  <sheetViews>
    <sheetView tabSelected="1" workbookViewId="0">
      <selection activeCell="C4" sqref="C4"/>
    </sheetView>
  </sheetViews>
  <sheetFormatPr defaultColWidth="9" defaultRowHeight="16.8"/>
  <cols>
    <col min="1" max="1" width="13" style="1" customWidth="1"/>
    <col min="2" max="2" width="12" style="1" customWidth="1"/>
    <col min="3" max="7" width="11" style="1" customWidth="1"/>
    <col min="8" max="9" width="15" style="1" customWidth="1"/>
    <col min="10" max="11" width="11" style="1" customWidth="1"/>
    <col min="12" max="12" width="8" style="1" customWidth="1"/>
    <col min="13" max="13" width="10.4230769230769" style="1" customWidth="1"/>
    <col min="14" max="14" width="22" style="1" customWidth="1"/>
    <col min="15" max="15" width="11" style="1" customWidth="1"/>
    <col min="16" max="16" width="10" style="1" customWidth="1"/>
    <col min="17" max="17" width="11" style="1" customWidth="1"/>
    <col min="18" max="18" width="17" style="1" customWidth="1"/>
    <col min="19" max="19" width="13" style="1" customWidth="1"/>
    <col min="20" max="20" width="12" style="1" customWidth="1"/>
    <col min="21" max="21" width="10" style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21">
      <c r="A6" s="2" t="s">
        <v>4</v>
      </c>
      <c r="B6" s="2" t="s">
        <v>5</v>
      </c>
      <c r="C6" s="2" t="s">
        <v>6</v>
      </c>
      <c r="D6" s="2"/>
      <c r="E6" s="2" t="s">
        <v>7</v>
      </c>
      <c r="F6" s="2"/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  <c r="U6" s="2" t="s">
        <v>22</v>
      </c>
    </row>
    <row r="7" spans="1:21">
      <c r="A7" s="1" t="s">
        <v>23</v>
      </c>
      <c r="B7" s="1">
        <v>4134.8</v>
      </c>
      <c r="C7" s="1">
        <v>-99.02</v>
      </c>
      <c r="D7" s="1">
        <f>+B7+C7</f>
        <v>4035.78</v>
      </c>
      <c r="E7" s="1">
        <v>242.14</v>
      </c>
      <c r="G7" s="1">
        <v>366.06</v>
      </c>
      <c r="H7" s="1">
        <v>0</v>
      </c>
      <c r="I7" s="1">
        <v>0</v>
      </c>
      <c r="J7" s="1">
        <v>0.02</v>
      </c>
      <c r="K7" s="1">
        <v>4644</v>
      </c>
      <c r="L7" s="1">
        <v>0</v>
      </c>
      <c r="M7" s="1">
        <v>996.9</v>
      </c>
      <c r="N7" s="1">
        <v>0</v>
      </c>
      <c r="O7" s="1">
        <v>0</v>
      </c>
      <c r="P7" s="1">
        <v>562.2</v>
      </c>
      <c r="Q7" s="1">
        <v>292.8</v>
      </c>
      <c r="R7" s="1">
        <v>0</v>
      </c>
      <c r="S7" s="1">
        <v>1103</v>
      </c>
      <c r="T7" s="1">
        <v>0</v>
      </c>
      <c r="U7" s="1">
        <v>1689.1</v>
      </c>
    </row>
    <row r="8" spans="1:21">
      <c r="A8" s="1" t="s">
        <v>24</v>
      </c>
      <c r="B8" s="1">
        <v>5351.68</v>
      </c>
      <c r="C8" s="1">
        <v>-24.84</v>
      </c>
      <c r="D8" s="1">
        <f t="shared" ref="D8:D37" si="0">+B8+C8</f>
        <v>5326.84</v>
      </c>
      <c r="E8" s="1">
        <v>319.64</v>
      </c>
      <c r="G8" s="1">
        <v>450.34</v>
      </c>
      <c r="H8" s="1">
        <v>0</v>
      </c>
      <c r="I8" s="1">
        <v>0</v>
      </c>
      <c r="J8" s="1">
        <v>0.18</v>
      </c>
      <c r="K8" s="1">
        <v>6097</v>
      </c>
      <c r="L8" s="1">
        <v>0</v>
      </c>
      <c r="M8" s="1">
        <v>2265.3</v>
      </c>
      <c r="N8" s="1">
        <v>163.1</v>
      </c>
      <c r="O8" s="1">
        <v>123.9</v>
      </c>
      <c r="P8" s="1">
        <v>846.4</v>
      </c>
      <c r="Q8" s="1">
        <v>1185.8</v>
      </c>
      <c r="R8" s="1">
        <v>0</v>
      </c>
      <c r="S8" s="1">
        <v>688.9</v>
      </c>
      <c r="T8" s="1">
        <v>0</v>
      </c>
      <c r="U8" s="1">
        <v>823.6</v>
      </c>
    </row>
    <row r="9" spans="1:21">
      <c r="A9" s="1" t="s">
        <v>25</v>
      </c>
      <c r="B9" s="1">
        <v>10483.58</v>
      </c>
      <c r="C9" s="1">
        <v>-50</v>
      </c>
      <c r="D9" s="1">
        <f t="shared" si="0"/>
        <v>10433.58</v>
      </c>
      <c r="E9" s="1">
        <v>626.03</v>
      </c>
      <c r="G9" s="1">
        <v>963.83</v>
      </c>
      <c r="H9" s="1">
        <v>0</v>
      </c>
      <c r="I9" s="1">
        <v>0</v>
      </c>
      <c r="J9" s="1">
        <v>0.06</v>
      </c>
      <c r="K9" s="1">
        <v>12023.5</v>
      </c>
      <c r="L9" s="1">
        <v>0</v>
      </c>
      <c r="M9" s="1">
        <v>2369</v>
      </c>
      <c r="N9" s="1">
        <v>242.8</v>
      </c>
      <c r="O9" s="1">
        <v>0</v>
      </c>
      <c r="P9" s="1">
        <v>1635.1</v>
      </c>
      <c r="Q9" s="1">
        <v>3200.4</v>
      </c>
      <c r="R9" s="1">
        <v>0</v>
      </c>
      <c r="S9" s="1">
        <v>612.1</v>
      </c>
      <c r="T9" s="1">
        <v>0</v>
      </c>
      <c r="U9" s="1">
        <v>3964.1</v>
      </c>
    </row>
    <row r="10" spans="1:21">
      <c r="A10" s="1" t="s">
        <v>26</v>
      </c>
      <c r="B10" s="1">
        <v>7433.88</v>
      </c>
      <c r="C10" s="1">
        <v>-3.8</v>
      </c>
      <c r="D10" s="1">
        <f t="shared" si="0"/>
        <v>7430.08</v>
      </c>
      <c r="E10" s="1">
        <v>445.83</v>
      </c>
      <c r="G10" s="1">
        <v>692.93</v>
      </c>
      <c r="H10" s="1">
        <v>0</v>
      </c>
      <c r="I10" s="1">
        <v>0</v>
      </c>
      <c r="J10" s="1">
        <v>0.26</v>
      </c>
      <c r="K10" s="1">
        <v>8569.1</v>
      </c>
      <c r="L10" s="1">
        <v>0</v>
      </c>
      <c r="M10" s="1">
        <v>469</v>
      </c>
      <c r="N10" s="1">
        <v>966.7</v>
      </c>
      <c r="O10" s="1">
        <v>0</v>
      </c>
      <c r="P10" s="1">
        <v>3386.1</v>
      </c>
      <c r="Q10" s="1">
        <v>891.5</v>
      </c>
      <c r="R10" s="1">
        <v>0</v>
      </c>
      <c r="S10" s="1">
        <v>1979.3</v>
      </c>
      <c r="T10" s="1">
        <v>0</v>
      </c>
      <c r="U10" s="1">
        <v>876.5</v>
      </c>
    </row>
    <row r="11" spans="1:21">
      <c r="A11" s="1" t="s">
        <v>27</v>
      </c>
      <c r="B11" s="1">
        <v>18536.58</v>
      </c>
      <c r="C11" s="1">
        <v>-597.08</v>
      </c>
      <c r="D11" s="1">
        <f t="shared" si="0"/>
        <v>17939.5</v>
      </c>
      <c r="E11" s="1">
        <v>1076.37</v>
      </c>
      <c r="G11" s="1">
        <v>1632.33</v>
      </c>
      <c r="H11" s="1">
        <v>0</v>
      </c>
      <c r="I11" s="1">
        <v>0</v>
      </c>
      <c r="J11" s="1">
        <v>0</v>
      </c>
      <c r="K11" s="1">
        <v>20648.2</v>
      </c>
      <c r="L11" s="1">
        <v>0</v>
      </c>
      <c r="M11" s="1">
        <v>5189.8</v>
      </c>
      <c r="N11" s="1">
        <v>0</v>
      </c>
      <c r="O11" s="1">
        <v>178.1</v>
      </c>
      <c r="P11" s="1">
        <v>4954.1</v>
      </c>
      <c r="Q11" s="1">
        <v>2426.2</v>
      </c>
      <c r="R11" s="1">
        <v>0</v>
      </c>
      <c r="S11" s="1">
        <v>1184</v>
      </c>
      <c r="T11" s="1">
        <v>0</v>
      </c>
      <c r="U11" s="1">
        <v>6716</v>
      </c>
    </row>
    <row r="12" spans="1:21">
      <c r="A12" s="1" t="s">
        <v>28</v>
      </c>
      <c r="B12" s="1">
        <v>10795.06</v>
      </c>
      <c r="C12" s="1">
        <v>-184.34</v>
      </c>
      <c r="D12" s="1">
        <f t="shared" si="0"/>
        <v>10610.72</v>
      </c>
      <c r="E12" s="1">
        <v>636.66</v>
      </c>
      <c r="G12" s="1">
        <v>990.11</v>
      </c>
      <c r="H12" s="1">
        <v>0</v>
      </c>
      <c r="I12" s="1">
        <v>0</v>
      </c>
      <c r="J12" s="1">
        <v>0.41</v>
      </c>
      <c r="K12" s="1">
        <v>12237.9</v>
      </c>
      <c r="L12" s="1">
        <v>0</v>
      </c>
      <c r="M12" s="1">
        <v>2431.9</v>
      </c>
      <c r="N12" s="1">
        <v>0</v>
      </c>
      <c r="O12" s="1">
        <v>0</v>
      </c>
      <c r="P12" s="1">
        <v>2301.6</v>
      </c>
      <c r="Q12" s="1">
        <v>1526.4</v>
      </c>
      <c r="R12" s="1">
        <v>237.4</v>
      </c>
      <c r="S12" s="1">
        <v>2193</v>
      </c>
      <c r="T12" s="1">
        <v>0</v>
      </c>
      <c r="U12" s="1">
        <v>3547.6</v>
      </c>
    </row>
    <row r="13" spans="1:21">
      <c r="A13" s="1" t="s">
        <v>29</v>
      </c>
      <c r="B13" s="1">
        <v>4453.56</v>
      </c>
      <c r="C13" s="1">
        <v>-139.23</v>
      </c>
      <c r="D13" s="1">
        <f t="shared" si="0"/>
        <v>4314.33</v>
      </c>
      <c r="E13" s="1">
        <v>258.87</v>
      </c>
      <c r="G13" s="1">
        <v>381.15</v>
      </c>
      <c r="H13" s="1">
        <v>0</v>
      </c>
      <c r="I13" s="1">
        <v>0</v>
      </c>
      <c r="J13" s="1">
        <v>-0.05</v>
      </c>
      <c r="K13" s="1">
        <v>4954.3</v>
      </c>
      <c r="L13" s="1">
        <v>0</v>
      </c>
      <c r="M13" s="1">
        <v>1722.5</v>
      </c>
      <c r="N13" s="1">
        <v>0</v>
      </c>
      <c r="O13" s="1">
        <v>0</v>
      </c>
      <c r="P13" s="1">
        <v>661.3</v>
      </c>
      <c r="Q13" s="1">
        <v>460.2</v>
      </c>
      <c r="R13" s="1">
        <v>0</v>
      </c>
      <c r="S13" s="1">
        <v>992.3</v>
      </c>
      <c r="T13" s="1">
        <v>0</v>
      </c>
      <c r="U13" s="1">
        <v>1118</v>
      </c>
    </row>
    <row r="14" spans="1:21">
      <c r="A14" s="1" t="s">
        <v>30</v>
      </c>
      <c r="B14" s="1">
        <v>5754.94</v>
      </c>
      <c r="C14" s="1">
        <v>-52</v>
      </c>
      <c r="D14" s="1">
        <f t="shared" si="0"/>
        <v>5702.94</v>
      </c>
      <c r="E14" s="1">
        <v>342.17</v>
      </c>
      <c r="G14" s="1">
        <v>556.41</v>
      </c>
      <c r="H14" s="1">
        <v>0</v>
      </c>
      <c r="I14" s="1">
        <v>0</v>
      </c>
      <c r="J14" s="1">
        <v>-0.02</v>
      </c>
      <c r="K14" s="1">
        <v>6601.5</v>
      </c>
      <c r="L14" s="1">
        <v>0</v>
      </c>
      <c r="M14" s="1">
        <v>614.3</v>
      </c>
      <c r="N14" s="1">
        <v>0</v>
      </c>
      <c r="O14" s="1">
        <v>0</v>
      </c>
      <c r="P14" s="1">
        <v>832</v>
      </c>
      <c r="Q14" s="1">
        <v>1978.5</v>
      </c>
      <c r="R14" s="1">
        <v>0</v>
      </c>
      <c r="S14" s="1">
        <v>1697.3</v>
      </c>
      <c r="T14" s="1">
        <v>0</v>
      </c>
      <c r="U14" s="1">
        <v>1479.4</v>
      </c>
    </row>
    <row r="15" spans="1:21">
      <c r="A15" s="1" t="s">
        <v>31</v>
      </c>
      <c r="B15" s="1">
        <v>4037.12</v>
      </c>
      <c r="C15" s="1">
        <v>-163.9</v>
      </c>
      <c r="D15" s="1">
        <f t="shared" si="0"/>
        <v>3873.22</v>
      </c>
      <c r="E15" s="1">
        <v>232.39</v>
      </c>
      <c r="G15" s="1">
        <v>327.47</v>
      </c>
      <c r="H15" s="1">
        <v>0</v>
      </c>
      <c r="I15" s="1">
        <v>0</v>
      </c>
      <c r="J15" s="1">
        <v>0.42</v>
      </c>
      <c r="K15" s="1">
        <v>4433.5</v>
      </c>
      <c r="L15" s="1">
        <v>0</v>
      </c>
      <c r="M15" s="1">
        <v>1374</v>
      </c>
      <c r="N15" s="1">
        <v>0</v>
      </c>
      <c r="O15" s="1">
        <v>0</v>
      </c>
      <c r="P15" s="1">
        <v>1194.4</v>
      </c>
      <c r="Q15" s="1">
        <v>325.2</v>
      </c>
      <c r="R15" s="1">
        <v>0</v>
      </c>
      <c r="S15" s="1">
        <v>543.9</v>
      </c>
      <c r="T15" s="1">
        <v>0</v>
      </c>
      <c r="U15" s="1">
        <v>996</v>
      </c>
    </row>
    <row r="16" spans="1:21">
      <c r="A16" s="1" t="s">
        <v>32</v>
      </c>
      <c r="B16" s="1">
        <v>8053.88</v>
      </c>
      <c r="C16" s="1">
        <v>-267.32</v>
      </c>
      <c r="D16" s="1">
        <f t="shared" si="0"/>
        <v>7786.56</v>
      </c>
      <c r="E16" s="1">
        <v>467.22</v>
      </c>
      <c r="G16" s="1">
        <v>646.85</v>
      </c>
      <c r="H16" s="1">
        <v>0</v>
      </c>
      <c r="I16" s="1">
        <v>0</v>
      </c>
      <c r="J16" s="1">
        <v>0.17</v>
      </c>
      <c r="K16" s="1">
        <v>8900.8</v>
      </c>
      <c r="L16" s="1">
        <v>0</v>
      </c>
      <c r="M16" s="1">
        <v>950.7</v>
      </c>
      <c r="N16" s="1">
        <v>0</v>
      </c>
      <c r="O16" s="1">
        <v>0</v>
      </c>
      <c r="P16" s="1">
        <v>2476.2</v>
      </c>
      <c r="Q16" s="1">
        <v>436.3</v>
      </c>
      <c r="R16" s="1">
        <v>570.9</v>
      </c>
      <c r="S16" s="1">
        <v>2141</v>
      </c>
      <c r="T16" s="1">
        <v>0</v>
      </c>
      <c r="U16" s="1">
        <v>2325.7</v>
      </c>
    </row>
    <row r="17" spans="1:21">
      <c r="A17" s="1" t="s">
        <v>33</v>
      </c>
      <c r="B17" s="1">
        <v>7513</v>
      </c>
      <c r="C17" s="1">
        <v>-135.92</v>
      </c>
      <c r="D17" s="1">
        <f t="shared" si="0"/>
        <v>7377.08</v>
      </c>
      <c r="E17" s="1">
        <v>442.63</v>
      </c>
      <c r="G17" s="1">
        <v>697.07</v>
      </c>
      <c r="H17" s="1">
        <v>0</v>
      </c>
      <c r="I17" s="1">
        <v>0</v>
      </c>
      <c r="J17" s="1">
        <v>0.12</v>
      </c>
      <c r="K17" s="1">
        <v>8516.9</v>
      </c>
      <c r="L17" s="1">
        <v>0</v>
      </c>
      <c r="M17" s="1">
        <v>1244.9</v>
      </c>
      <c r="N17" s="1">
        <v>330.8</v>
      </c>
      <c r="O17" s="1">
        <v>0</v>
      </c>
      <c r="P17" s="1">
        <v>2572.6</v>
      </c>
      <c r="Q17" s="1">
        <v>1062.7</v>
      </c>
      <c r="R17" s="1">
        <v>0</v>
      </c>
      <c r="S17" s="1">
        <v>692.1</v>
      </c>
      <c r="T17" s="1">
        <v>0</v>
      </c>
      <c r="U17" s="1">
        <v>2613.8</v>
      </c>
    </row>
    <row r="18" spans="1:21">
      <c r="A18" s="1" t="s">
        <v>34</v>
      </c>
      <c r="B18" s="1">
        <v>21658.8</v>
      </c>
      <c r="C18" s="1">
        <v>-452.9</v>
      </c>
      <c r="D18" s="1">
        <f t="shared" si="0"/>
        <v>21205.9</v>
      </c>
      <c r="E18" s="1">
        <v>1272.39</v>
      </c>
      <c r="G18" s="1">
        <v>1990.15</v>
      </c>
      <c r="H18" s="1">
        <v>0</v>
      </c>
      <c r="I18" s="1">
        <v>0</v>
      </c>
      <c r="J18" s="1">
        <v>0.66</v>
      </c>
      <c r="K18" s="1">
        <v>24469.1</v>
      </c>
      <c r="L18" s="1">
        <v>412.4</v>
      </c>
      <c r="M18" s="1">
        <v>6166.4</v>
      </c>
      <c r="N18" s="1">
        <v>524.5</v>
      </c>
      <c r="O18" s="1">
        <v>0</v>
      </c>
      <c r="P18" s="1">
        <v>4324.8</v>
      </c>
      <c r="Q18" s="1">
        <v>182.8</v>
      </c>
      <c r="R18" s="1">
        <v>0</v>
      </c>
      <c r="S18" s="1">
        <v>4954.9</v>
      </c>
      <c r="T18" s="1">
        <v>0</v>
      </c>
      <c r="U18" s="1">
        <v>7903.3</v>
      </c>
    </row>
    <row r="19" spans="1:21">
      <c r="A19" s="1" t="s">
        <v>35</v>
      </c>
      <c r="B19" s="1">
        <v>14375.84</v>
      </c>
      <c r="C19" s="1">
        <v>-155.3</v>
      </c>
      <c r="D19" s="1">
        <f t="shared" si="0"/>
        <v>14220.54</v>
      </c>
      <c r="E19" s="1">
        <v>853.26</v>
      </c>
      <c r="G19" s="1">
        <v>1258.39</v>
      </c>
      <c r="H19" s="1">
        <v>0</v>
      </c>
      <c r="I19" s="1">
        <v>0</v>
      </c>
      <c r="J19" s="1">
        <v>0.41</v>
      </c>
      <c r="K19" s="1">
        <v>16332.6</v>
      </c>
      <c r="L19" s="1">
        <v>230.8</v>
      </c>
      <c r="M19" s="1">
        <v>1843.4</v>
      </c>
      <c r="N19" s="1">
        <v>0</v>
      </c>
      <c r="O19" s="1">
        <v>0</v>
      </c>
      <c r="P19" s="1">
        <v>6561.5</v>
      </c>
      <c r="Q19" s="1">
        <v>967.3</v>
      </c>
      <c r="R19" s="1">
        <v>439.7</v>
      </c>
      <c r="S19" s="1">
        <v>763.7</v>
      </c>
      <c r="T19" s="1">
        <v>0</v>
      </c>
      <c r="U19" s="1">
        <v>5526.2</v>
      </c>
    </row>
    <row r="20" spans="1:21">
      <c r="A20" s="1" t="s">
        <v>36</v>
      </c>
      <c r="B20" s="1">
        <v>7213</v>
      </c>
      <c r="C20" s="1">
        <v>-48.88</v>
      </c>
      <c r="D20" s="1">
        <f t="shared" si="0"/>
        <v>7164.12</v>
      </c>
      <c r="E20" s="1">
        <v>429.87</v>
      </c>
      <c r="G20" s="1">
        <v>633.23</v>
      </c>
      <c r="H20" s="1">
        <v>0</v>
      </c>
      <c r="I20" s="1">
        <v>0</v>
      </c>
      <c r="J20" s="1">
        <v>0.08</v>
      </c>
      <c r="K20" s="1">
        <v>8227.3</v>
      </c>
      <c r="L20" s="1">
        <v>0</v>
      </c>
      <c r="M20" s="1">
        <v>1892.9</v>
      </c>
      <c r="N20" s="1">
        <v>0</v>
      </c>
      <c r="O20" s="1">
        <v>0</v>
      </c>
      <c r="P20" s="1">
        <v>3546.8</v>
      </c>
      <c r="Q20" s="1">
        <v>464.2</v>
      </c>
      <c r="R20" s="1">
        <v>318</v>
      </c>
      <c r="S20" s="1">
        <v>459.6</v>
      </c>
      <c r="T20" s="1">
        <v>0</v>
      </c>
      <c r="U20" s="1">
        <v>1545.8</v>
      </c>
    </row>
    <row r="21" spans="1:21">
      <c r="A21" s="1" t="s">
        <v>37</v>
      </c>
      <c r="B21" s="1">
        <v>2394.8</v>
      </c>
      <c r="C21" s="1">
        <v>-1.56</v>
      </c>
      <c r="D21" s="1">
        <f t="shared" si="0"/>
        <v>2393.24</v>
      </c>
      <c r="E21" s="1">
        <v>143.59</v>
      </c>
      <c r="G21" s="1">
        <v>216.9</v>
      </c>
      <c r="H21" s="1">
        <v>0</v>
      </c>
      <c r="I21" s="1">
        <v>0</v>
      </c>
      <c r="J21" s="1">
        <v>-0.03</v>
      </c>
      <c r="K21" s="1">
        <v>2753.7</v>
      </c>
      <c r="L21" s="1">
        <v>0</v>
      </c>
      <c r="M21" s="1">
        <v>261.3</v>
      </c>
      <c r="N21" s="1">
        <v>0</v>
      </c>
      <c r="O21" s="1">
        <v>0</v>
      </c>
      <c r="P21" s="1">
        <v>1276.8</v>
      </c>
      <c r="Q21" s="1">
        <v>79.8</v>
      </c>
      <c r="R21" s="1">
        <v>0</v>
      </c>
      <c r="S21" s="1">
        <v>0</v>
      </c>
      <c r="T21" s="1">
        <v>0</v>
      </c>
      <c r="U21" s="1">
        <v>1135.8</v>
      </c>
    </row>
    <row r="22" spans="1:21">
      <c r="A22" s="1" t="s">
        <v>38</v>
      </c>
      <c r="B22" s="1">
        <v>8500.3</v>
      </c>
      <c r="C22" s="1">
        <v>-173.78</v>
      </c>
      <c r="D22" s="1">
        <f t="shared" si="0"/>
        <v>8326.52</v>
      </c>
      <c r="E22" s="1">
        <v>499.6</v>
      </c>
      <c r="G22" s="1">
        <v>616.3</v>
      </c>
      <c r="H22" s="1">
        <v>0</v>
      </c>
      <c r="I22" s="1">
        <v>0</v>
      </c>
      <c r="J22" s="1">
        <v>0.18</v>
      </c>
      <c r="K22" s="1">
        <v>9442.6</v>
      </c>
      <c r="L22" s="1">
        <v>0</v>
      </c>
      <c r="M22" s="1">
        <v>2427.9</v>
      </c>
      <c r="N22" s="1">
        <v>118.6</v>
      </c>
      <c r="O22" s="1">
        <v>0</v>
      </c>
      <c r="P22" s="1">
        <v>1305</v>
      </c>
      <c r="Q22" s="1">
        <v>2820.6</v>
      </c>
      <c r="R22" s="1">
        <v>0</v>
      </c>
      <c r="S22" s="1">
        <v>1202.3</v>
      </c>
      <c r="T22" s="1">
        <v>0</v>
      </c>
      <c r="U22" s="1">
        <v>1568.2</v>
      </c>
    </row>
    <row r="23" spans="1:21">
      <c r="A23" s="1" t="s">
        <v>39</v>
      </c>
      <c r="B23" s="1">
        <v>8315.22</v>
      </c>
      <c r="C23" s="1">
        <v>-1</v>
      </c>
      <c r="D23" s="1">
        <f t="shared" si="0"/>
        <v>8314.22</v>
      </c>
      <c r="E23" s="1">
        <v>498.88</v>
      </c>
      <c r="G23" s="1">
        <v>766.62</v>
      </c>
      <c r="H23" s="1">
        <v>0</v>
      </c>
      <c r="I23" s="1">
        <v>0</v>
      </c>
      <c r="J23" s="1">
        <v>0.18</v>
      </c>
      <c r="K23" s="1">
        <v>9579.9</v>
      </c>
      <c r="L23" s="1">
        <v>0</v>
      </c>
      <c r="M23" s="1">
        <v>2756.7</v>
      </c>
      <c r="N23" s="1">
        <v>0</v>
      </c>
      <c r="O23" s="1">
        <v>218.8</v>
      </c>
      <c r="P23" s="1">
        <v>293.6</v>
      </c>
      <c r="Q23" s="1">
        <v>1239.5</v>
      </c>
      <c r="R23" s="1">
        <v>0</v>
      </c>
      <c r="S23" s="1">
        <v>1104.5</v>
      </c>
      <c r="T23" s="1">
        <v>0</v>
      </c>
      <c r="U23" s="1">
        <v>3966.8</v>
      </c>
    </row>
    <row r="24" spans="1:21">
      <c r="A24" s="1" t="s">
        <v>40</v>
      </c>
      <c r="B24" s="1">
        <v>10360.5</v>
      </c>
      <c r="C24" s="1">
        <v>-0.7</v>
      </c>
      <c r="D24" s="1">
        <f t="shared" si="0"/>
        <v>10359.8</v>
      </c>
      <c r="E24" s="1">
        <v>621.59</v>
      </c>
      <c r="G24" s="1">
        <v>1009.27</v>
      </c>
      <c r="H24" s="1">
        <v>0</v>
      </c>
      <c r="I24" s="1">
        <v>0</v>
      </c>
      <c r="J24" s="1">
        <v>0.34</v>
      </c>
      <c r="K24" s="1">
        <v>11991</v>
      </c>
      <c r="L24" s="1">
        <v>0</v>
      </c>
      <c r="M24" s="1">
        <v>2219.2</v>
      </c>
      <c r="N24" s="1">
        <v>52.2</v>
      </c>
      <c r="O24" s="1">
        <v>0</v>
      </c>
      <c r="P24" s="1">
        <v>3682.8</v>
      </c>
      <c r="Q24" s="1">
        <v>2473</v>
      </c>
      <c r="R24" s="1">
        <v>0</v>
      </c>
      <c r="S24" s="1">
        <v>1085.7</v>
      </c>
      <c r="T24" s="1">
        <v>55.7</v>
      </c>
      <c r="U24" s="1">
        <v>2422.4</v>
      </c>
    </row>
    <row r="25" spans="1:21">
      <c r="A25" s="1" t="s">
        <v>41</v>
      </c>
      <c r="B25" s="1">
        <v>18041.52</v>
      </c>
      <c r="C25" s="1">
        <v>-327.74</v>
      </c>
      <c r="D25" s="1">
        <f t="shared" si="0"/>
        <v>17713.78</v>
      </c>
      <c r="E25" s="1">
        <v>1062.82</v>
      </c>
      <c r="G25" s="1">
        <v>1687.07</v>
      </c>
      <c r="H25" s="1">
        <v>0</v>
      </c>
      <c r="I25" s="1">
        <v>0</v>
      </c>
      <c r="J25" s="1">
        <v>0.43</v>
      </c>
      <c r="K25" s="1">
        <v>20464.1</v>
      </c>
      <c r="L25" s="1">
        <v>0</v>
      </c>
      <c r="M25" s="1">
        <v>5399.5</v>
      </c>
      <c r="N25" s="1">
        <v>300.8</v>
      </c>
      <c r="O25" s="1">
        <v>0</v>
      </c>
      <c r="P25" s="1">
        <v>4237.6</v>
      </c>
      <c r="Q25" s="1">
        <v>2511.8</v>
      </c>
      <c r="R25" s="1">
        <v>0</v>
      </c>
      <c r="S25" s="1">
        <v>2191.9</v>
      </c>
      <c r="T25" s="1">
        <v>0</v>
      </c>
      <c r="U25" s="1">
        <v>5822.5</v>
      </c>
    </row>
    <row r="26" spans="1:21">
      <c r="A26" s="1" t="s">
        <v>42</v>
      </c>
      <c r="B26" s="1">
        <v>9416.6</v>
      </c>
      <c r="C26" s="1">
        <v>-138.14</v>
      </c>
      <c r="D26" s="1">
        <f t="shared" si="0"/>
        <v>9278.46</v>
      </c>
      <c r="E26" s="1">
        <v>556.71</v>
      </c>
      <c r="G26" s="1">
        <v>793.73</v>
      </c>
      <c r="H26" s="1">
        <v>0</v>
      </c>
      <c r="I26" s="1">
        <v>0</v>
      </c>
      <c r="J26" s="1">
        <v>0.2</v>
      </c>
      <c r="K26" s="1">
        <v>10629.1</v>
      </c>
      <c r="L26" s="1">
        <v>0</v>
      </c>
      <c r="M26" s="1">
        <v>2385.7</v>
      </c>
      <c r="N26" s="1">
        <v>0</v>
      </c>
      <c r="O26" s="1">
        <v>0</v>
      </c>
      <c r="P26" s="1">
        <v>3124.4</v>
      </c>
      <c r="Q26" s="1">
        <v>1584.4</v>
      </c>
      <c r="R26" s="1">
        <v>0</v>
      </c>
      <c r="S26" s="1">
        <v>2336.3</v>
      </c>
      <c r="T26" s="1">
        <v>0</v>
      </c>
      <c r="U26" s="1">
        <v>1198.3</v>
      </c>
    </row>
    <row r="27" spans="1:21">
      <c r="A27" s="1" t="s">
        <v>43</v>
      </c>
      <c r="B27" s="1">
        <v>5239.96</v>
      </c>
      <c r="C27" s="1">
        <v>-133.47</v>
      </c>
      <c r="D27" s="1">
        <f t="shared" si="0"/>
        <v>5106.49</v>
      </c>
      <c r="E27" s="1">
        <v>306.41</v>
      </c>
      <c r="G27" s="1">
        <v>499.65</v>
      </c>
      <c r="H27" s="1">
        <v>0</v>
      </c>
      <c r="I27" s="1">
        <v>0</v>
      </c>
      <c r="J27" s="1">
        <v>0.15</v>
      </c>
      <c r="K27" s="1">
        <v>5912.7</v>
      </c>
      <c r="L27" s="1">
        <v>0</v>
      </c>
      <c r="M27" s="1">
        <v>136.1</v>
      </c>
      <c r="N27" s="1">
        <v>0</v>
      </c>
      <c r="O27" s="1">
        <v>0</v>
      </c>
      <c r="P27" s="1">
        <v>1288.2</v>
      </c>
      <c r="Q27" s="1">
        <v>598.2</v>
      </c>
      <c r="R27" s="1">
        <v>0</v>
      </c>
      <c r="S27" s="1">
        <v>348.3</v>
      </c>
      <c r="T27" s="1">
        <v>0</v>
      </c>
      <c r="U27" s="1">
        <v>3541.9</v>
      </c>
    </row>
    <row r="28" spans="1:21">
      <c r="A28" s="1" t="s">
        <v>44</v>
      </c>
      <c r="B28" s="1">
        <v>2634.32</v>
      </c>
      <c r="C28" s="1">
        <v>0</v>
      </c>
      <c r="D28" s="1">
        <f t="shared" si="0"/>
        <v>2634.32</v>
      </c>
      <c r="E28" s="1">
        <v>158.06</v>
      </c>
      <c r="G28" s="1">
        <v>204.83</v>
      </c>
      <c r="H28" s="1">
        <v>0</v>
      </c>
      <c r="I28" s="1">
        <v>0</v>
      </c>
      <c r="J28" s="1">
        <v>-0.01</v>
      </c>
      <c r="K28" s="1">
        <v>2997.2</v>
      </c>
      <c r="L28" s="1">
        <v>0</v>
      </c>
      <c r="M28" s="1">
        <v>1335.3</v>
      </c>
      <c r="N28" s="1">
        <v>0</v>
      </c>
      <c r="O28" s="1">
        <v>0</v>
      </c>
      <c r="P28" s="1">
        <v>357.3</v>
      </c>
      <c r="Q28" s="1">
        <v>0</v>
      </c>
      <c r="R28" s="1">
        <v>324.4</v>
      </c>
      <c r="S28" s="1">
        <v>296.8</v>
      </c>
      <c r="T28" s="1">
        <v>0</v>
      </c>
      <c r="U28" s="1">
        <v>683.4</v>
      </c>
    </row>
    <row r="29" spans="1:21">
      <c r="A29" s="1" t="s">
        <v>45</v>
      </c>
      <c r="B29" s="1">
        <v>5678.7</v>
      </c>
      <c r="C29" s="1">
        <v>-85.09</v>
      </c>
      <c r="D29" s="1">
        <f t="shared" si="0"/>
        <v>5593.61</v>
      </c>
      <c r="E29" s="1">
        <v>335.64</v>
      </c>
      <c r="G29" s="1">
        <v>521.1</v>
      </c>
      <c r="H29" s="1">
        <v>0</v>
      </c>
      <c r="I29" s="1">
        <v>0</v>
      </c>
      <c r="J29" s="1">
        <v>0.15</v>
      </c>
      <c r="K29" s="1">
        <v>6450.5</v>
      </c>
      <c r="L29" s="1">
        <v>0</v>
      </c>
      <c r="M29" s="1">
        <v>1621.8</v>
      </c>
      <c r="N29" s="1">
        <v>0</v>
      </c>
      <c r="O29" s="1">
        <v>0</v>
      </c>
      <c r="P29" s="1">
        <v>1970.9</v>
      </c>
      <c r="Q29" s="1">
        <v>917.2</v>
      </c>
      <c r="R29" s="1">
        <v>0</v>
      </c>
      <c r="S29" s="1">
        <v>1085.9</v>
      </c>
      <c r="T29" s="1">
        <v>0</v>
      </c>
      <c r="U29" s="1">
        <v>854.7</v>
      </c>
    </row>
    <row r="30" spans="1:21">
      <c r="A30" s="1" t="s">
        <v>46</v>
      </c>
      <c r="B30" s="1">
        <v>5140.54</v>
      </c>
      <c r="C30" s="1">
        <v>0</v>
      </c>
      <c r="D30" s="1">
        <f t="shared" si="0"/>
        <v>5140.54</v>
      </c>
      <c r="E30" s="1">
        <v>308.45</v>
      </c>
      <c r="G30" s="1">
        <v>435.75</v>
      </c>
      <c r="H30" s="1">
        <v>0</v>
      </c>
      <c r="I30" s="1">
        <v>0</v>
      </c>
      <c r="J30" s="1">
        <v>0.06</v>
      </c>
      <c r="K30" s="1">
        <v>5884.8</v>
      </c>
      <c r="L30" s="1">
        <v>0</v>
      </c>
      <c r="M30" s="1">
        <v>619.2</v>
      </c>
      <c r="N30" s="1">
        <v>0</v>
      </c>
      <c r="O30" s="1">
        <v>0</v>
      </c>
      <c r="P30" s="1">
        <v>0</v>
      </c>
      <c r="Q30" s="1">
        <v>206.7</v>
      </c>
      <c r="R30" s="1">
        <v>297.9</v>
      </c>
      <c r="S30" s="1">
        <v>2249</v>
      </c>
      <c r="T30" s="1">
        <v>0</v>
      </c>
      <c r="U30" s="1">
        <v>2512</v>
      </c>
    </row>
    <row r="31" spans="1:21">
      <c r="A31" s="1" t="s">
        <v>47</v>
      </c>
      <c r="B31" s="1">
        <v>15672.86</v>
      </c>
      <c r="C31" s="1">
        <v>-290.85</v>
      </c>
      <c r="D31" s="1">
        <f t="shared" si="0"/>
        <v>15382.01</v>
      </c>
      <c r="E31" s="1">
        <v>922.93</v>
      </c>
      <c r="G31" s="1">
        <v>1362.35</v>
      </c>
      <c r="H31" s="1">
        <v>0</v>
      </c>
      <c r="I31" s="1">
        <v>0</v>
      </c>
      <c r="J31" s="1">
        <v>0.51</v>
      </c>
      <c r="K31" s="1">
        <v>17667.8</v>
      </c>
      <c r="L31" s="1">
        <v>0</v>
      </c>
      <c r="M31" s="1">
        <v>3834.6</v>
      </c>
      <c r="N31" s="1">
        <v>461.7</v>
      </c>
      <c r="O31" s="1">
        <v>0</v>
      </c>
      <c r="P31" s="1">
        <v>4604</v>
      </c>
      <c r="Q31" s="1">
        <v>2448.2</v>
      </c>
      <c r="R31" s="1">
        <v>0</v>
      </c>
      <c r="S31" s="1">
        <v>2235.2</v>
      </c>
      <c r="T31" s="1">
        <v>0</v>
      </c>
      <c r="U31" s="1">
        <v>4084.1</v>
      </c>
    </row>
    <row r="32" spans="1:21">
      <c r="A32" s="1" t="s">
        <v>48</v>
      </c>
      <c r="B32" s="1">
        <v>20823.9</v>
      </c>
      <c r="C32" s="1">
        <v>-311.97</v>
      </c>
      <c r="D32" s="1">
        <f t="shared" si="0"/>
        <v>20511.93</v>
      </c>
      <c r="E32" s="1">
        <v>1230.7</v>
      </c>
      <c r="G32" s="1">
        <v>1865.24</v>
      </c>
      <c r="H32" s="1">
        <v>0</v>
      </c>
      <c r="I32" s="1">
        <v>0</v>
      </c>
      <c r="J32" s="1">
        <v>0.53</v>
      </c>
      <c r="K32" s="1">
        <v>23608.4</v>
      </c>
      <c r="L32" s="1">
        <v>147.1</v>
      </c>
      <c r="M32" s="1">
        <v>4252.9</v>
      </c>
      <c r="N32" s="1">
        <v>554.1</v>
      </c>
      <c r="O32" s="1">
        <v>0</v>
      </c>
      <c r="P32" s="1">
        <v>8625.3</v>
      </c>
      <c r="Q32" s="1">
        <v>1978.6</v>
      </c>
      <c r="R32" s="1">
        <v>552.5</v>
      </c>
      <c r="S32" s="1">
        <v>3171.6</v>
      </c>
      <c r="T32" s="1">
        <v>0</v>
      </c>
      <c r="U32" s="1">
        <v>4326.3</v>
      </c>
    </row>
    <row r="33" spans="1:21">
      <c r="A33" s="1" t="s">
        <v>49</v>
      </c>
      <c r="B33" s="1">
        <v>9265.5</v>
      </c>
      <c r="C33" s="1">
        <v>-2</v>
      </c>
      <c r="D33" s="1">
        <f t="shared" si="0"/>
        <v>9263.5</v>
      </c>
      <c r="E33" s="1">
        <v>555.83</v>
      </c>
      <c r="G33" s="1">
        <v>709.57</v>
      </c>
      <c r="H33" s="1">
        <v>0</v>
      </c>
      <c r="I33" s="1">
        <v>0</v>
      </c>
      <c r="J33" s="1">
        <v>0</v>
      </c>
      <c r="K33" s="1">
        <v>10528.9</v>
      </c>
      <c r="L33" s="1">
        <v>0</v>
      </c>
      <c r="M33" s="1">
        <v>845</v>
      </c>
      <c r="N33" s="1">
        <v>0</v>
      </c>
      <c r="O33" s="1">
        <v>0</v>
      </c>
      <c r="P33" s="1">
        <v>3158.4</v>
      </c>
      <c r="Q33" s="1">
        <v>970.4</v>
      </c>
      <c r="R33" s="1">
        <v>376.1</v>
      </c>
      <c r="S33" s="1">
        <v>2814.1</v>
      </c>
      <c r="T33" s="1">
        <v>0</v>
      </c>
      <c r="U33" s="1">
        <v>2364.9</v>
      </c>
    </row>
    <row r="34" spans="1:21">
      <c r="A34" s="1" t="s">
        <v>50</v>
      </c>
      <c r="B34" s="1">
        <v>4763.36</v>
      </c>
      <c r="C34" s="1">
        <v>-81.3</v>
      </c>
      <c r="D34" s="1">
        <f t="shared" si="0"/>
        <v>4682.06</v>
      </c>
      <c r="E34" s="1">
        <v>280.95</v>
      </c>
      <c r="G34" s="1">
        <v>422.17</v>
      </c>
      <c r="H34" s="1">
        <v>0</v>
      </c>
      <c r="I34" s="1">
        <v>0</v>
      </c>
      <c r="J34" s="1">
        <v>0.42</v>
      </c>
      <c r="K34" s="1">
        <v>5385.6</v>
      </c>
      <c r="L34" s="1">
        <v>0</v>
      </c>
      <c r="M34" s="1">
        <v>1131.8</v>
      </c>
      <c r="N34" s="1">
        <v>0</v>
      </c>
      <c r="O34" s="1">
        <v>0</v>
      </c>
      <c r="P34" s="1">
        <v>513.7</v>
      </c>
      <c r="Q34" s="1">
        <v>343.4</v>
      </c>
      <c r="R34" s="1">
        <v>0</v>
      </c>
      <c r="S34" s="1">
        <v>1181.6</v>
      </c>
      <c r="T34" s="1">
        <v>0</v>
      </c>
      <c r="U34" s="1">
        <v>2215.1</v>
      </c>
    </row>
    <row r="35" spans="1:21">
      <c r="A35" s="1" t="s">
        <v>51</v>
      </c>
      <c r="B35" s="1">
        <v>6682.6</v>
      </c>
      <c r="C35" s="1">
        <v>-15.56</v>
      </c>
      <c r="D35" s="1">
        <f t="shared" si="0"/>
        <v>6667.04</v>
      </c>
      <c r="E35" s="1">
        <v>400.01</v>
      </c>
      <c r="G35" s="1">
        <v>624.54</v>
      </c>
      <c r="H35" s="1">
        <v>0</v>
      </c>
      <c r="I35" s="1">
        <v>0</v>
      </c>
      <c r="J35" s="1">
        <v>0.21</v>
      </c>
      <c r="K35" s="1">
        <v>7691.8</v>
      </c>
      <c r="L35" s="1">
        <v>0</v>
      </c>
      <c r="M35" s="1">
        <v>2568.8</v>
      </c>
      <c r="N35" s="1">
        <v>0</v>
      </c>
      <c r="O35" s="1">
        <v>0</v>
      </c>
      <c r="P35" s="1">
        <v>1113.8</v>
      </c>
      <c r="Q35" s="1">
        <v>1319.3</v>
      </c>
      <c r="R35" s="1">
        <v>0</v>
      </c>
      <c r="S35" s="1">
        <v>680.4</v>
      </c>
      <c r="T35" s="1">
        <v>0</v>
      </c>
      <c r="U35" s="1">
        <v>2009.5</v>
      </c>
    </row>
    <row r="36" spans="1:21">
      <c r="A36" s="1" t="s">
        <v>52</v>
      </c>
      <c r="B36" s="1">
        <v>4528.12</v>
      </c>
      <c r="C36" s="1">
        <v>0</v>
      </c>
      <c r="D36" s="1">
        <f t="shared" si="0"/>
        <v>4528.12</v>
      </c>
      <c r="E36" s="1">
        <v>271.69</v>
      </c>
      <c r="G36" s="1">
        <v>375.43</v>
      </c>
      <c r="H36" s="1">
        <v>0</v>
      </c>
      <c r="I36" s="1">
        <v>0</v>
      </c>
      <c r="J36" s="1">
        <v>0.06</v>
      </c>
      <c r="K36" s="1">
        <v>5175.3</v>
      </c>
      <c r="L36" s="1">
        <v>0</v>
      </c>
      <c r="M36" s="1">
        <v>1723.6</v>
      </c>
      <c r="N36" s="1">
        <v>394.4</v>
      </c>
      <c r="O36" s="1">
        <v>0</v>
      </c>
      <c r="P36" s="1">
        <v>278</v>
      </c>
      <c r="Q36" s="1">
        <v>0</v>
      </c>
      <c r="R36" s="1">
        <v>0</v>
      </c>
      <c r="S36" s="1">
        <v>1913.4</v>
      </c>
      <c r="T36" s="1">
        <v>0</v>
      </c>
      <c r="U36" s="1">
        <v>865.9</v>
      </c>
    </row>
    <row r="37" spans="1:21">
      <c r="A37" s="1" t="s">
        <v>53</v>
      </c>
      <c r="B37" s="1">
        <v>7124.3</v>
      </c>
      <c r="C37" s="1">
        <v>-249.7</v>
      </c>
      <c r="D37" s="1">
        <f t="shared" si="0"/>
        <v>6874.6</v>
      </c>
      <c r="E37" s="1">
        <v>412.5</v>
      </c>
      <c r="G37" s="1">
        <v>649.58</v>
      </c>
      <c r="H37" s="1">
        <v>0</v>
      </c>
      <c r="I37" s="1">
        <v>0</v>
      </c>
      <c r="J37" s="1">
        <v>0.12</v>
      </c>
      <c r="K37" s="1">
        <v>7936.8</v>
      </c>
      <c r="L37" s="1">
        <v>0</v>
      </c>
      <c r="M37" s="1">
        <v>1298.5</v>
      </c>
      <c r="N37" s="1">
        <v>289.5</v>
      </c>
      <c r="O37" s="1">
        <v>0</v>
      </c>
      <c r="P37" s="1">
        <v>791.2</v>
      </c>
      <c r="Q37" s="1">
        <v>1614.8</v>
      </c>
      <c r="R37" s="1">
        <v>0</v>
      </c>
      <c r="S37" s="1">
        <v>2010.4</v>
      </c>
      <c r="T37" s="1">
        <v>0</v>
      </c>
      <c r="U37" s="1">
        <v>1932.4</v>
      </c>
    </row>
    <row r="38" spans="1:21">
      <c r="A38" s="3" t="s">
        <v>54</v>
      </c>
      <c r="B38" s="3">
        <f t="shared" ref="B38:U38" si="1">SUM(B7:B37)</f>
        <v>274378.82</v>
      </c>
      <c r="C38" s="3">
        <f t="shared" si="1"/>
        <v>-4187.39</v>
      </c>
      <c r="D38" s="3">
        <f t="shared" si="1"/>
        <v>270191.43</v>
      </c>
      <c r="E38" s="3">
        <f t="shared" si="1"/>
        <v>16211.83</v>
      </c>
      <c r="F38" s="3"/>
      <c r="G38" s="3">
        <f t="shared" si="1"/>
        <v>24346.42</v>
      </c>
      <c r="H38" s="3">
        <f t="shared" si="1"/>
        <v>0</v>
      </c>
      <c r="I38" s="3">
        <f t="shared" si="1"/>
        <v>0</v>
      </c>
      <c r="J38" s="3">
        <f t="shared" si="1"/>
        <v>6.22</v>
      </c>
      <c r="K38" s="3">
        <f t="shared" si="1"/>
        <v>310755.9</v>
      </c>
      <c r="L38" s="3">
        <f t="shared" si="1"/>
        <v>790.3</v>
      </c>
      <c r="M38" s="3">
        <f t="shared" si="1"/>
        <v>64348.9</v>
      </c>
      <c r="N38" s="3">
        <f t="shared" si="1"/>
        <v>4399.2</v>
      </c>
      <c r="O38" s="3">
        <f t="shared" si="1"/>
        <v>520.8</v>
      </c>
      <c r="P38" s="3">
        <f t="shared" si="1"/>
        <v>72476.1</v>
      </c>
      <c r="Q38" s="3">
        <f t="shared" si="1"/>
        <v>36506.2</v>
      </c>
      <c r="R38" s="3">
        <f t="shared" si="1"/>
        <v>3116.9</v>
      </c>
      <c r="S38" s="3">
        <f t="shared" si="1"/>
        <v>45912.5</v>
      </c>
      <c r="T38" s="3">
        <f t="shared" si="1"/>
        <v>55.7</v>
      </c>
      <c r="U38" s="3">
        <f t="shared" si="1"/>
        <v>82629.3</v>
      </c>
    </row>
    <row r="39" ht="55" spans="13:14">
      <c r="M39" s="4" t="s">
        <v>55</v>
      </c>
      <c r="N39" s="5">
        <v>560.86</v>
      </c>
    </row>
    <row r="40" ht="55" spans="13:14">
      <c r="M40" s="4" t="s">
        <v>56</v>
      </c>
      <c r="N40" s="5">
        <v>145.07</v>
      </c>
    </row>
    <row r="41" ht="68" spans="13:14">
      <c r="M41" s="6" t="s">
        <v>57</v>
      </c>
      <c r="N41" s="7">
        <f>N38-N39-N40</f>
        <v>3693.27</v>
      </c>
    </row>
    <row r="43" spans="12:19">
      <c r="L43" s="5"/>
      <c r="M43" s="8">
        <v>82629.3</v>
      </c>
      <c r="N43" s="8">
        <v>72476.1</v>
      </c>
      <c r="O43" s="8">
        <v>36506.2</v>
      </c>
      <c r="P43" s="8">
        <v>55.7</v>
      </c>
      <c r="Q43" s="8"/>
      <c r="R43" s="18">
        <f>SUM(M43:Q43)</f>
        <v>191667.3</v>
      </c>
      <c r="S43" s="19"/>
    </row>
    <row r="44" spans="12:19">
      <c r="L44" s="5" t="s">
        <v>58</v>
      </c>
      <c r="M44" s="5" t="s">
        <v>59</v>
      </c>
      <c r="N44" s="5" t="s">
        <v>60</v>
      </c>
      <c r="O44" s="5" t="s">
        <v>61</v>
      </c>
      <c r="P44" s="5" t="s">
        <v>62</v>
      </c>
      <c r="Q44" s="5" t="s">
        <v>63</v>
      </c>
      <c r="R44" s="5" t="s">
        <v>64</v>
      </c>
      <c r="S44" s="20">
        <f>P38+Q38+T38+U38</f>
        <v>191667.3</v>
      </c>
    </row>
    <row r="45" spans="12:19">
      <c r="L45" s="9"/>
      <c r="M45" s="9"/>
      <c r="N45" s="9"/>
      <c r="O45" s="9"/>
      <c r="P45" s="9"/>
      <c r="Q45" s="9"/>
      <c r="R45" s="9"/>
      <c r="S45" s="9"/>
    </row>
    <row r="46" ht="20.4" spans="12:19">
      <c r="L46" s="10" t="s">
        <v>13</v>
      </c>
      <c r="M46" s="10"/>
      <c r="N46" s="10"/>
      <c r="O46" s="10"/>
      <c r="P46" s="9"/>
      <c r="Q46" s="21"/>
      <c r="R46" s="21"/>
      <c r="S46" s="21"/>
    </row>
    <row r="47" ht="41" spans="12:19">
      <c r="L47" s="4" t="s">
        <v>65</v>
      </c>
      <c r="M47" s="11" t="s">
        <v>66</v>
      </c>
      <c r="N47" s="4" t="s">
        <v>67</v>
      </c>
      <c r="O47" s="5" t="s">
        <v>68</v>
      </c>
      <c r="P47" s="9"/>
      <c r="Q47" s="21"/>
      <c r="R47" s="21"/>
      <c r="S47" s="21"/>
    </row>
    <row r="48" spans="12:19">
      <c r="L48" s="12" t="s">
        <v>69</v>
      </c>
      <c r="M48" s="13">
        <v>412.4</v>
      </c>
      <c r="N48" s="5"/>
      <c r="O48" s="14">
        <f>M48-N48</f>
        <v>412.4</v>
      </c>
      <c r="P48" s="9"/>
      <c r="Q48" s="21"/>
      <c r="R48" s="21"/>
      <c r="S48" s="21"/>
    </row>
    <row r="49" spans="12:19">
      <c r="L49" s="12" t="s">
        <v>70</v>
      </c>
      <c r="M49" s="15">
        <v>230.8</v>
      </c>
      <c r="N49" s="13">
        <v>634.84</v>
      </c>
      <c r="O49" s="14">
        <f>M49-N49</f>
        <v>-404.04</v>
      </c>
      <c r="P49" s="9"/>
      <c r="Q49" s="21"/>
      <c r="R49" s="21"/>
      <c r="S49" s="21"/>
    </row>
    <row r="50" spans="12:19">
      <c r="L50" s="12" t="s">
        <v>71</v>
      </c>
      <c r="M50" s="5">
        <v>147.1</v>
      </c>
      <c r="N50" s="5">
        <v>145.19</v>
      </c>
      <c r="O50" s="14">
        <f t="shared" ref="O50:O55" si="2">M50-N50</f>
        <v>1.91</v>
      </c>
      <c r="P50" s="9"/>
      <c r="Q50" s="21"/>
      <c r="R50" s="21"/>
      <c r="S50" s="21"/>
    </row>
    <row r="51" spans="12:19">
      <c r="L51" s="12"/>
      <c r="M51" s="5"/>
      <c r="N51" s="5"/>
      <c r="O51" s="14">
        <f t="shared" si="2"/>
        <v>0</v>
      </c>
      <c r="P51" s="9"/>
      <c r="Q51" s="21"/>
      <c r="R51" s="21"/>
      <c r="S51" s="21"/>
    </row>
    <row r="52" spans="12:19">
      <c r="L52" s="5"/>
      <c r="M52" s="5"/>
      <c r="N52" s="5"/>
      <c r="O52" s="14">
        <f t="shared" si="2"/>
        <v>0</v>
      </c>
      <c r="P52" s="9"/>
      <c r="Q52" s="21"/>
      <c r="R52" s="21"/>
      <c r="S52" s="21"/>
    </row>
    <row r="53" spans="12:19">
      <c r="L53" s="5"/>
      <c r="M53" s="5"/>
      <c r="N53" s="5"/>
      <c r="O53" s="14">
        <f t="shared" si="2"/>
        <v>0</v>
      </c>
      <c r="P53" s="9"/>
      <c r="Q53" s="21"/>
      <c r="R53" s="21"/>
      <c r="S53" s="21"/>
    </row>
    <row r="54" spans="12:19">
      <c r="L54" s="5"/>
      <c r="M54" s="5"/>
      <c r="N54" s="5"/>
      <c r="O54" s="14">
        <f t="shared" si="2"/>
        <v>0</v>
      </c>
      <c r="P54" s="9"/>
      <c r="Q54" s="21"/>
      <c r="R54" s="21"/>
      <c r="S54" s="21"/>
    </row>
    <row r="55" spans="12:19">
      <c r="L55" s="5"/>
      <c r="M55" s="5"/>
      <c r="N55" s="5"/>
      <c r="O55" s="14">
        <f t="shared" si="2"/>
        <v>0</v>
      </c>
      <c r="P55" s="9"/>
      <c r="Q55" s="21"/>
      <c r="R55" s="21"/>
      <c r="S55" s="21"/>
    </row>
    <row r="56" spans="12:19">
      <c r="L56" s="16" t="s">
        <v>64</v>
      </c>
      <c r="M56" s="17">
        <f>SUM(M48:M55)</f>
        <v>790.3</v>
      </c>
      <c r="N56" s="17">
        <f>SUM(N48:N55)</f>
        <v>780.03</v>
      </c>
      <c r="O56" s="17">
        <f>SUM(O48:O55)</f>
        <v>10.27</v>
      </c>
      <c r="P56" s="9"/>
      <c r="Q56" s="21"/>
      <c r="R56" s="21"/>
      <c r="S56" s="21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6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B28" sqref="B28"/>
    </sheetView>
  </sheetViews>
  <sheetFormatPr defaultColWidth="9" defaultRowHeight="16.8"/>
  <cols>
    <col min="1" max="1" width="13" style="1" customWidth="1"/>
    <col min="2" max="2" width="50" style="1" customWidth="1"/>
    <col min="3" max="4" width="7" style="1" customWidth="1"/>
    <col min="5" max="5" width="12" style="1" customWidth="1"/>
    <col min="6" max="8" width="11" style="1" customWidth="1"/>
    <col min="9" max="10" width="15" style="1" customWidth="1"/>
    <col min="11" max="12" width="11" style="1" customWidth="1"/>
    <col min="13" max="13" width="8" style="1" customWidth="1"/>
    <col min="14" max="14" width="10.4230769230769" style="1" customWidth="1"/>
    <col min="15" max="15" width="22" style="1" customWidth="1"/>
    <col min="16" max="16" width="11" style="1" customWidth="1"/>
    <col min="17" max="17" width="10" style="1" customWidth="1"/>
    <col min="18" max="18" width="11" style="1" customWidth="1"/>
    <col min="19" max="19" width="17" style="1" customWidth="1"/>
    <col min="20" max="20" width="13" style="1" customWidth="1"/>
    <col min="21" max="21" width="12" style="1" customWidth="1"/>
    <col min="22" max="22" width="10" style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22">
      <c r="A6" s="2" t="s">
        <v>4</v>
      </c>
      <c r="B6" s="2" t="s">
        <v>72</v>
      </c>
      <c r="C6" s="2" t="s">
        <v>73</v>
      </c>
      <c r="D6" s="2" t="s">
        <v>74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  <c r="V6" s="2" t="s">
        <v>22</v>
      </c>
    </row>
    <row r="7" spans="1:22">
      <c r="A7" s="1" t="s">
        <v>23</v>
      </c>
      <c r="B7" s="1" t="s">
        <v>75</v>
      </c>
      <c r="C7" s="1">
        <v>17</v>
      </c>
      <c r="D7" s="1">
        <v>53</v>
      </c>
      <c r="E7" s="1">
        <v>4134.8</v>
      </c>
      <c r="F7" s="1">
        <v>-99.02</v>
      </c>
      <c r="G7" s="1">
        <v>242.14</v>
      </c>
      <c r="H7" s="1">
        <v>366.06</v>
      </c>
      <c r="I7" s="1">
        <v>0</v>
      </c>
      <c r="J7" s="1">
        <v>0</v>
      </c>
      <c r="K7" s="1">
        <v>0.02</v>
      </c>
      <c r="L7" s="1">
        <v>4644</v>
      </c>
      <c r="M7" s="1">
        <v>0</v>
      </c>
      <c r="N7" s="1">
        <v>996.9</v>
      </c>
      <c r="O7" s="1">
        <v>0</v>
      </c>
      <c r="P7" s="1">
        <v>0</v>
      </c>
      <c r="Q7" s="1">
        <v>562.2</v>
      </c>
      <c r="R7" s="1">
        <v>292.8</v>
      </c>
      <c r="S7" s="1">
        <v>0</v>
      </c>
      <c r="T7" s="1">
        <v>1103</v>
      </c>
      <c r="U7" s="1">
        <v>0</v>
      </c>
      <c r="V7" s="1">
        <v>1689.1</v>
      </c>
    </row>
    <row r="8" spans="1:22">
      <c r="A8" s="1" t="s">
        <v>24</v>
      </c>
      <c r="B8" s="1" t="s">
        <v>75</v>
      </c>
      <c r="C8" s="1">
        <v>33</v>
      </c>
      <c r="D8" s="1">
        <v>75</v>
      </c>
      <c r="E8" s="1">
        <v>5351.68</v>
      </c>
      <c r="F8" s="1">
        <v>-24.84</v>
      </c>
      <c r="G8" s="1">
        <v>319.64</v>
      </c>
      <c r="H8" s="1">
        <v>450.34</v>
      </c>
      <c r="I8" s="1">
        <v>0</v>
      </c>
      <c r="J8" s="1">
        <v>0</v>
      </c>
      <c r="K8" s="1">
        <v>0.18</v>
      </c>
      <c r="L8" s="1">
        <v>6097</v>
      </c>
      <c r="M8" s="1">
        <v>0</v>
      </c>
      <c r="N8" s="1">
        <v>2265.3</v>
      </c>
      <c r="O8" s="1">
        <v>163.1</v>
      </c>
      <c r="P8" s="1">
        <v>123.9</v>
      </c>
      <c r="Q8" s="1">
        <v>846.4</v>
      </c>
      <c r="R8" s="1">
        <v>1185.8</v>
      </c>
      <c r="S8" s="1">
        <v>0</v>
      </c>
      <c r="T8" s="1">
        <v>688.9</v>
      </c>
      <c r="U8" s="1">
        <v>0</v>
      </c>
      <c r="V8" s="1">
        <v>823.6</v>
      </c>
    </row>
    <row r="9" spans="1:22">
      <c r="A9" s="1" t="s">
        <v>25</v>
      </c>
      <c r="B9" s="1" t="s">
        <v>75</v>
      </c>
      <c r="C9" s="1">
        <v>37</v>
      </c>
      <c r="D9" s="1">
        <v>149</v>
      </c>
      <c r="E9" s="1">
        <v>10483.58</v>
      </c>
      <c r="F9" s="1">
        <v>-50</v>
      </c>
      <c r="G9" s="1">
        <v>626.03</v>
      </c>
      <c r="H9" s="1">
        <v>963.83</v>
      </c>
      <c r="I9" s="1">
        <v>0</v>
      </c>
      <c r="J9" s="1">
        <v>0</v>
      </c>
      <c r="K9" s="1">
        <v>0.06</v>
      </c>
      <c r="L9" s="1">
        <v>12023.5</v>
      </c>
      <c r="M9" s="1">
        <v>0</v>
      </c>
      <c r="N9" s="1">
        <v>2369</v>
      </c>
      <c r="O9" s="1">
        <v>242.8</v>
      </c>
      <c r="P9" s="1">
        <v>0</v>
      </c>
      <c r="Q9" s="1">
        <v>1635.1</v>
      </c>
      <c r="R9" s="1">
        <v>3200.4</v>
      </c>
      <c r="S9" s="1">
        <v>0</v>
      </c>
      <c r="T9" s="1">
        <v>612.1</v>
      </c>
      <c r="U9" s="1">
        <v>0</v>
      </c>
      <c r="V9" s="1">
        <v>3964.1</v>
      </c>
    </row>
    <row r="10" spans="1:22">
      <c r="A10" s="1" t="s">
        <v>26</v>
      </c>
      <c r="B10" s="1" t="s">
        <v>75</v>
      </c>
      <c r="C10" s="1">
        <v>33</v>
      </c>
      <c r="D10" s="1">
        <v>96</v>
      </c>
      <c r="E10" s="1">
        <v>7433.88</v>
      </c>
      <c r="F10" s="1">
        <v>-3.8</v>
      </c>
      <c r="G10" s="1">
        <v>445.83</v>
      </c>
      <c r="H10" s="1">
        <v>692.93</v>
      </c>
      <c r="I10" s="1">
        <v>0</v>
      </c>
      <c r="J10" s="1">
        <v>0</v>
      </c>
      <c r="K10" s="1">
        <v>0.26</v>
      </c>
      <c r="L10" s="1">
        <v>8569.1</v>
      </c>
      <c r="M10" s="1">
        <v>0</v>
      </c>
      <c r="N10" s="1">
        <v>469</v>
      </c>
      <c r="O10" s="1">
        <v>966.7</v>
      </c>
      <c r="P10" s="1">
        <v>0</v>
      </c>
      <c r="Q10" s="1">
        <v>3386.1</v>
      </c>
      <c r="R10" s="1">
        <v>891.5</v>
      </c>
      <c r="S10" s="1">
        <v>0</v>
      </c>
      <c r="T10" s="1">
        <v>1979.3</v>
      </c>
      <c r="U10" s="1">
        <v>0</v>
      </c>
      <c r="V10" s="1">
        <v>876.5</v>
      </c>
    </row>
    <row r="11" spans="1:22">
      <c r="A11" s="1" t="s">
        <v>27</v>
      </c>
      <c r="B11" s="1" t="s">
        <v>75</v>
      </c>
      <c r="C11" s="1">
        <v>48</v>
      </c>
      <c r="D11" s="1">
        <v>183</v>
      </c>
      <c r="E11" s="1">
        <v>18536.58</v>
      </c>
      <c r="F11" s="1">
        <v>-597.08</v>
      </c>
      <c r="G11" s="1">
        <v>1076.37</v>
      </c>
      <c r="H11" s="1">
        <v>1632.33</v>
      </c>
      <c r="I11" s="1">
        <v>0</v>
      </c>
      <c r="J11" s="1">
        <v>0</v>
      </c>
      <c r="K11" s="1">
        <v>0</v>
      </c>
      <c r="L11" s="1">
        <v>20648.2</v>
      </c>
      <c r="M11" s="1">
        <v>0</v>
      </c>
      <c r="N11" s="1">
        <v>5189.8</v>
      </c>
      <c r="O11" s="1">
        <v>0</v>
      </c>
      <c r="P11" s="1">
        <v>178.1</v>
      </c>
      <c r="Q11" s="1">
        <v>4954.1</v>
      </c>
      <c r="R11" s="1">
        <v>2426.2</v>
      </c>
      <c r="S11" s="1">
        <v>0</v>
      </c>
      <c r="T11" s="1">
        <v>1184</v>
      </c>
      <c r="U11" s="1">
        <v>0</v>
      </c>
      <c r="V11" s="1">
        <v>6716</v>
      </c>
    </row>
    <row r="12" spans="1:22">
      <c r="A12" s="1" t="s">
        <v>28</v>
      </c>
      <c r="B12" s="1" t="s">
        <v>75</v>
      </c>
      <c r="C12" s="1">
        <v>43</v>
      </c>
      <c r="D12" s="1">
        <v>140</v>
      </c>
      <c r="E12" s="1">
        <v>10795.06</v>
      </c>
      <c r="F12" s="1">
        <v>-184.34</v>
      </c>
      <c r="G12" s="1">
        <v>636.66</v>
      </c>
      <c r="H12" s="1">
        <v>990.11</v>
      </c>
      <c r="I12" s="1">
        <v>0</v>
      </c>
      <c r="J12" s="1">
        <v>0</v>
      </c>
      <c r="K12" s="1">
        <v>0.41</v>
      </c>
      <c r="L12" s="1">
        <v>12237.9</v>
      </c>
      <c r="M12" s="1">
        <v>0</v>
      </c>
      <c r="N12" s="1">
        <v>2431.9</v>
      </c>
      <c r="O12" s="1">
        <v>0</v>
      </c>
      <c r="P12" s="1">
        <v>0</v>
      </c>
      <c r="Q12" s="1">
        <v>2301.6</v>
      </c>
      <c r="R12" s="1">
        <v>1526.4</v>
      </c>
      <c r="S12" s="1">
        <v>237.4</v>
      </c>
      <c r="T12" s="1">
        <v>2193</v>
      </c>
      <c r="U12" s="1">
        <v>0</v>
      </c>
      <c r="V12" s="1">
        <v>3547.6</v>
      </c>
    </row>
    <row r="13" spans="1:22">
      <c r="A13" s="1" t="s">
        <v>29</v>
      </c>
      <c r="B13" s="1" t="s">
        <v>75</v>
      </c>
      <c r="C13" s="1">
        <v>22</v>
      </c>
      <c r="D13" s="1">
        <v>61</v>
      </c>
      <c r="E13" s="1">
        <v>4453.56</v>
      </c>
      <c r="F13" s="1">
        <v>-139.23</v>
      </c>
      <c r="G13" s="1">
        <v>258.87</v>
      </c>
      <c r="H13" s="1">
        <v>381.15</v>
      </c>
      <c r="I13" s="1">
        <v>0</v>
      </c>
      <c r="J13" s="1">
        <v>0</v>
      </c>
      <c r="K13" s="1">
        <v>-0.05</v>
      </c>
      <c r="L13" s="1">
        <v>4954.3</v>
      </c>
      <c r="M13" s="1">
        <v>0</v>
      </c>
      <c r="N13" s="1">
        <v>1722.5</v>
      </c>
      <c r="O13" s="1">
        <v>0</v>
      </c>
      <c r="P13" s="1">
        <v>0</v>
      </c>
      <c r="Q13" s="1">
        <v>661.3</v>
      </c>
      <c r="R13" s="1">
        <v>460.2</v>
      </c>
      <c r="S13" s="1">
        <v>0</v>
      </c>
      <c r="T13" s="1">
        <v>992.3</v>
      </c>
      <c r="U13" s="1">
        <v>0</v>
      </c>
      <c r="V13" s="1">
        <v>1118</v>
      </c>
    </row>
    <row r="14" spans="1:22">
      <c r="A14" s="1" t="s">
        <v>30</v>
      </c>
      <c r="B14" s="1" t="s">
        <v>75</v>
      </c>
      <c r="C14" s="1">
        <v>21</v>
      </c>
      <c r="D14" s="1">
        <v>69</v>
      </c>
      <c r="E14" s="1">
        <v>5754.94</v>
      </c>
      <c r="F14" s="1">
        <v>-52</v>
      </c>
      <c r="G14" s="1">
        <v>342.17</v>
      </c>
      <c r="H14" s="1">
        <v>556.41</v>
      </c>
      <c r="I14" s="1">
        <v>0</v>
      </c>
      <c r="J14" s="1">
        <v>0</v>
      </c>
      <c r="K14" s="1">
        <v>-0.02</v>
      </c>
      <c r="L14" s="1">
        <v>6601.5</v>
      </c>
      <c r="M14" s="1">
        <v>0</v>
      </c>
      <c r="N14" s="1">
        <v>614.3</v>
      </c>
      <c r="O14" s="1">
        <v>0</v>
      </c>
      <c r="P14" s="1">
        <v>0</v>
      </c>
      <c r="Q14" s="1">
        <v>832</v>
      </c>
      <c r="R14" s="1">
        <v>1978.5</v>
      </c>
      <c r="S14" s="1">
        <v>0</v>
      </c>
      <c r="T14" s="1">
        <v>1697.3</v>
      </c>
      <c r="U14" s="1">
        <v>0</v>
      </c>
      <c r="V14" s="1">
        <v>1479.4</v>
      </c>
    </row>
    <row r="15" spans="1:22">
      <c r="A15" s="1" t="s">
        <v>31</v>
      </c>
      <c r="B15" s="1" t="s">
        <v>75</v>
      </c>
      <c r="C15" s="1">
        <v>18</v>
      </c>
      <c r="D15" s="1">
        <v>48</v>
      </c>
      <c r="E15" s="1">
        <v>4037.12</v>
      </c>
      <c r="F15" s="1">
        <v>-163.9</v>
      </c>
      <c r="G15" s="1">
        <v>232.39</v>
      </c>
      <c r="H15" s="1">
        <v>327.47</v>
      </c>
      <c r="I15" s="1">
        <v>0</v>
      </c>
      <c r="J15" s="1">
        <v>0</v>
      </c>
      <c r="K15" s="1">
        <v>0.42</v>
      </c>
      <c r="L15" s="1">
        <v>4433.5</v>
      </c>
      <c r="M15" s="1">
        <v>0</v>
      </c>
      <c r="N15" s="1">
        <v>1374</v>
      </c>
      <c r="O15" s="1">
        <v>0</v>
      </c>
      <c r="P15" s="1">
        <v>0</v>
      </c>
      <c r="Q15" s="1">
        <v>1194.4</v>
      </c>
      <c r="R15" s="1">
        <v>325.2</v>
      </c>
      <c r="S15" s="1">
        <v>0</v>
      </c>
      <c r="T15" s="1">
        <v>543.9</v>
      </c>
      <c r="U15" s="1">
        <v>0</v>
      </c>
      <c r="V15" s="1">
        <v>996</v>
      </c>
    </row>
    <row r="16" spans="1:22">
      <c r="A16" s="1" t="s">
        <v>32</v>
      </c>
      <c r="B16" s="1" t="s">
        <v>75</v>
      </c>
      <c r="C16" s="1">
        <v>27</v>
      </c>
      <c r="D16" s="1">
        <v>84</v>
      </c>
      <c r="E16" s="1">
        <v>8053.88</v>
      </c>
      <c r="F16" s="1">
        <v>-267.32</v>
      </c>
      <c r="G16" s="1">
        <v>467.22</v>
      </c>
      <c r="H16" s="1">
        <v>646.85</v>
      </c>
      <c r="I16" s="1">
        <v>0</v>
      </c>
      <c r="J16" s="1">
        <v>0</v>
      </c>
      <c r="K16" s="1">
        <v>0.17</v>
      </c>
      <c r="L16" s="1">
        <v>8900.8</v>
      </c>
      <c r="M16" s="1">
        <v>0</v>
      </c>
      <c r="N16" s="1">
        <v>950.7</v>
      </c>
      <c r="O16" s="1">
        <v>0</v>
      </c>
      <c r="P16" s="1">
        <v>0</v>
      </c>
      <c r="Q16" s="1">
        <v>2476.2</v>
      </c>
      <c r="R16" s="1">
        <v>436.3</v>
      </c>
      <c r="S16" s="1">
        <v>570.9</v>
      </c>
      <c r="T16" s="1">
        <v>2141</v>
      </c>
      <c r="U16" s="1">
        <v>0</v>
      </c>
      <c r="V16" s="1">
        <v>2325.7</v>
      </c>
    </row>
    <row r="17" spans="1:22">
      <c r="A17" s="1" t="s">
        <v>33</v>
      </c>
      <c r="B17" s="1" t="s">
        <v>75</v>
      </c>
      <c r="C17" s="1">
        <v>35</v>
      </c>
      <c r="D17" s="1">
        <v>99</v>
      </c>
      <c r="E17" s="1">
        <v>7513</v>
      </c>
      <c r="F17" s="1">
        <v>-135.92</v>
      </c>
      <c r="G17" s="1">
        <v>442.63</v>
      </c>
      <c r="H17" s="1">
        <v>697.07</v>
      </c>
      <c r="I17" s="1">
        <v>0</v>
      </c>
      <c r="J17" s="1">
        <v>0</v>
      </c>
      <c r="K17" s="1">
        <v>0.12</v>
      </c>
      <c r="L17" s="1">
        <v>8516.9</v>
      </c>
      <c r="M17" s="1">
        <v>0</v>
      </c>
      <c r="N17" s="1">
        <v>1244.9</v>
      </c>
      <c r="O17" s="1">
        <v>330.8</v>
      </c>
      <c r="P17" s="1">
        <v>0</v>
      </c>
      <c r="Q17" s="1">
        <v>2572.6</v>
      </c>
      <c r="R17" s="1">
        <v>1062.7</v>
      </c>
      <c r="S17" s="1">
        <v>0</v>
      </c>
      <c r="T17" s="1">
        <v>692.1</v>
      </c>
      <c r="U17" s="1">
        <v>0</v>
      </c>
      <c r="V17" s="1">
        <v>2613.8</v>
      </c>
    </row>
    <row r="18" spans="1:22">
      <c r="A18" s="1" t="s">
        <v>34</v>
      </c>
      <c r="B18" s="1" t="s">
        <v>75</v>
      </c>
      <c r="C18" s="1">
        <v>70</v>
      </c>
      <c r="D18" s="1">
        <v>247</v>
      </c>
      <c r="E18" s="1">
        <v>21658.8</v>
      </c>
      <c r="F18" s="1">
        <v>-452.9</v>
      </c>
      <c r="G18" s="1">
        <v>1272.39</v>
      </c>
      <c r="H18" s="1">
        <v>1990.15</v>
      </c>
      <c r="I18" s="1">
        <v>0</v>
      </c>
      <c r="J18" s="1">
        <v>0</v>
      </c>
      <c r="K18" s="1">
        <v>0.66</v>
      </c>
      <c r="L18" s="1">
        <v>24469.1</v>
      </c>
      <c r="M18" s="1">
        <v>412.4</v>
      </c>
      <c r="N18" s="1">
        <v>6166.4</v>
      </c>
      <c r="O18" s="1">
        <v>524.5</v>
      </c>
      <c r="P18" s="1">
        <v>0</v>
      </c>
      <c r="Q18" s="1">
        <v>4324.8</v>
      </c>
      <c r="R18" s="1">
        <v>182.8</v>
      </c>
      <c r="S18" s="1">
        <v>0</v>
      </c>
      <c r="T18" s="1">
        <v>4954.9</v>
      </c>
      <c r="U18" s="1">
        <v>0</v>
      </c>
      <c r="V18" s="1">
        <v>7903.3</v>
      </c>
    </row>
    <row r="19" spans="1:22">
      <c r="A19" s="1" t="s">
        <v>35</v>
      </c>
      <c r="B19" s="1" t="s">
        <v>75</v>
      </c>
      <c r="C19" s="1">
        <v>48</v>
      </c>
      <c r="D19" s="1">
        <v>177</v>
      </c>
      <c r="E19" s="1">
        <v>14375.84</v>
      </c>
      <c r="F19" s="1">
        <v>-155.3</v>
      </c>
      <c r="G19" s="1">
        <v>853.26</v>
      </c>
      <c r="H19" s="1">
        <v>1258.39</v>
      </c>
      <c r="I19" s="1">
        <v>0</v>
      </c>
      <c r="J19" s="1">
        <v>0</v>
      </c>
      <c r="K19" s="1">
        <v>0.41</v>
      </c>
      <c r="L19" s="1">
        <v>16332.6</v>
      </c>
      <c r="M19" s="1">
        <v>230.8</v>
      </c>
      <c r="N19" s="1">
        <v>1843.4</v>
      </c>
      <c r="O19" s="1">
        <v>0</v>
      </c>
      <c r="P19" s="1">
        <v>0</v>
      </c>
      <c r="Q19" s="1">
        <v>6561.5</v>
      </c>
      <c r="R19" s="1">
        <v>967.3</v>
      </c>
      <c r="S19" s="1">
        <v>439.7</v>
      </c>
      <c r="T19" s="1">
        <v>763.7</v>
      </c>
      <c r="U19" s="1">
        <v>0</v>
      </c>
      <c r="V19" s="1">
        <v>5526.2</v>
      </c>
    </row>
    <row r="20" spans="1:22">
      <c r="A20" s="1" t="s">
        <v>36</v>
      </c>
      <c r="B20" s="1" t="s">
        <v>75</v>
      </c>
      <c r="C20" s="1">
        <v>30</v>
      </c>
      <c r="D20" s="1">
        <v>85</v>
      </c>
      <c r="E20" s="1">
        <v>7213</v>
      </c>
      <c r="F20" s="1">
        <v>-48.88</v>
      </c>
      <c r="G20" s="1">
        <v>429.87</v>
      </c>
      <c r="H20" s="1">
        <v>633.23</v>
      </c>
      <c r="I20" s="1">
        <v>0</v>
      </c>
      <c r="J20" s="1">
        <v>0</v>
      </c>
      <c r="K20" s="1">
        <v>0.08</v>
      </c>
      <c r="L20" s="1">
        <v>8227.3</v>
      </c>
      <c r="M20" s="1">
        <v>0</v>
      </c>
      <c r="N20" s="1">
        <v>1892.9</v>
      </c>
      <c r="O20" s="1">
        <v>0</v>
      </c>
      <c r="P20" s="1">
        <v>0</v>
      </c>
      <c r="Q20" s="1">
        <v>3546.8</v>
      </c>
      <c r="R20" s="1">
        <v>464.2</v>
      </c>
      <c r="S20" s="1">
        <v>318</v>
      </c>
      <c r="T20" s="1">
        <v>459.6</v>
      </c>
      <c r="U20" s="1">
        <v>0</v>
      </c>
      <c r="V20" s="1">
        <v>1545.8</v>
      </c>
    </row>
    <row r="21" spans="1:22">
      <c r="A21" s="1" t="s">
        <v>37</v>
      </c>
      <c r="B21" s="1" t="s">
        <v>75</v>
      </c>
      <c r="C21" s="1">
        <v>12</v>
      </c>
      <c r="D21" s="1">
        <v>46</v>
      </c>
      <c r="E21" s="1">
        <v>2394.8</v>
      </c>
      <c r="F21" s="1">
        <v>-1.56</v>
      </c>
      <c r="G21" s="1">
        <v>143.59</v>
      </c>
      <c r="H21" s="1">
        <v>216.9</v>
      </c>
      <c r="I21" s="1">
        <v>0</v>
      </c>
      <c r="J21" s="1">
        <v>0</v>
      </c>
      <c r="K21" s="1">
        <v>-0.03</v>
      </c>
      <c r="L21" s="1">
        <v>2753.7</v>
      </c>
      <c r="M21" s="1">
        <v>0</v>
      </c>
      <c r="N21" s="1">
        <v>261.3</v>
      </c>
      <c r="O21" s="1">
        <v>0</v>
      </c>
      <c r="P21" s="1">
        <v>0</v>
      </c>
      <c r="Q21" s="1">
        <v>1276.8</v>
      </c>
      <c r="R21" s="1">
        <v>79.8</v>
      </c>
      <c r="S21" s="1">
        <v>0</v>
      </c>
      <c r="T21" s="1">
        <v>0</v>
      </c>
      <c r="U21" s="1">
        <v>0</v>
      </c>
      <c r="V21" s="1">
        <v>1135.8</v>
      </c>
    </row>
    <row r="22" spans="1:22">
      <c r="A22" s="1" t="s">
        <v>38</v>
      </c>
      <c r="B22" s="1" t="s">
        <v>75</v>
      </c>
      <c r="C22" s="1">
        <v>30</v>
      </c>
      <c r="D22" s="1">
        <v>82</v>
      </c>
      <c r="E22" s="1">
        <v>8500.3</v>
      </c>
      <c r="F22" s="1">
        <v>-173.78</v>
      </c>
      <c r="G22" s="1">
        <v>499.6</v>
      </c>
      <c r="H22" s="1">
        <v>616.3</v>
      </c>
      <c r="I22" s="1">
        <v>0</v>
      </c>
      <c r="J22" s="1">
        <v>0</v>
      </c>
      <c r="K22" s="1">
        <v>0.18</v>
      </c>
      <c r="L22" s="1">
        <v>9442.6</v>
      </c>
      <c r="M22" s="1">
        <v>0</v>
      </c>
      <c r="N22" s="1">
        <v>2427.9</v>
      </c>
      <c r="O22" s="1">
        <v>118.6</v>
      </c>
      <c r="P22" s="1">
        <v>0</v>
      </c>
      <c r="Q22" s="1">
        <v>1305</v>
      </c>
      <c r="R22" s="1">
        <v>2820.6</v>
      </c>
      <c r="S22" s="1">
        <v>0</v>
      </c>
      <c r="T22" s="1">
        <v>1202.3</v>
      </c>
      <c r="U22" s="1">
        <v>0</v>
      </c>
      <c r="V22" s="1">
        <v>1568.2</v>
      </c>
    </row>
    <row r="23" spans="1:22">
      <c r="A23" s="1" t="s">
        <v>39</v>
      </c>
      <c r="B23" s="1" t="s">
        <v>75</v>
      </c>
      <c r="C23" s="1">
        <v>27</v>
      </c>
      <c r="D23" s="1">
        <v>101</v>
      </c>
      <c r="E23" s="1">
        <v>8315.22</v>
      </c>
      <c r="F23" s="1">
        <v>-1</v>
      </c>
      <c r="G23" s="1">
        <v>498.88</v>
      </c>
      <c r="H23" s="1">
        <v>766.62</v>
      </c>
      <c r="I23" s="1">
        <v>0</v>
      </c>
      <c r="J23" s="1">
        <v>0</v>
      </c>
      <c r="K23" s="1">
        <v>0.18</v>
      </c>
      <c r="L23" s="1">
        <v>9579.9</v>
      </c>
      <c r="M23" s="1">
        <v>0</v>
      </c>
      <c r="N23" s="1">
        <v>2756.7</v>
      </c>
      <c r="O23" s="1">
        <v>0</v>
      </c>
      <c r="P23" s="1">
        <v>218.8</v>
      </c>
      <c r="Q23" s="1">
        <v>293.6</v>
      </c>
      <c r="R23" s="1">
        <v>1239.5</v>
      </c>
      <c r="S23" s="1">
        <v>0</v>
      </c>
      <c r="T23" s="1">
        <v>1104.5</v>
      </c>
      <c r="U23" s="1">
        <v>0</v>
      </c>
      <c r="V23" s="1">
        <v>3966.8</v>
      </c>
    </row>
    <row r="24" spans="1:22">
      <c r="A24" s="1" t="s">
        <v>40</v>
      </c>
      <c r="B24" s="1" t="s">
        <v>75</v>
      </c>
      <c r="C24" s="1">
        <v>38</v>
      </c>
      <c r="D24" s="1">
        <v>118</v>
      </c>
      <c r="E24" s="1">
        <v>10360.5</v>
      </c>
      <c r="F24" s="1">
        <v>-0.7</v>
      </c>
      <c r="G24" s="1">
        <v>621.59</v>
      </c>
      <c r="H24" s="1">
        <v>1009.27</v>
      </c>
      <c r="I24" s="1">
        <v>0</v>
      </c>
      <c r="J24" s="1">
        <v>0</v>
      </c>
      <c r="K24" s="1">
        <v>0.34</v>
      </c>
      <c r="L24" s="1">
        <v>11991</v>
      </c>
      <c r="M24" s="1">
        <v>0</v>
      </c>
      <c r="N24" s="1">
        <v>2219.2</v>
      </c>
      <c r="O24" s="1">
        <v>52.2</v>
      </c>
      <c r="P24" s="1">
        <v>0</v>
      </c>
      <c r="Q24" s="1">
        <v>3682.8</v>
      </c>
      <c r="R24" s="1">
        <v>2473</v>
      </c>
      <c r="S24" s="1">
        <v>0</v>
      </c>
      <c r="T24" s="1">
        <v>1085.7</v>
      </c>
      <c r="U24" s="1">
        <v>55.7</v>
      </c>
      <c r="V24" s="1">
        <v>2422.4</v>
      </c>
    </row>
    <row r="25" spans="1:22">
      <c r="A25" s="1" t="s">
        <v>41</v>
      </c>
      <c r="B25" s="1" t="s">
        <v>75</v>
      </c>
      <c r="C25" s="1">
        <v>60</v>
      </c>
      <c r="D25" s="1">
        <v>248</v>
      </c>
      <c r="E25" s="1">
        <v>18041.52</v>
      </c>
      <c r="F25" s="1">
        <v>-327.74</v>
      </c>
      <c r="G25" s="1">
        <v>1062.82</v>
      </c>
      <c r="H25" s="1">
        <v>1687.07</v>
      </c>
      <c r="I25" s="1">
        <v>0</v>
      </c>
      <c r="J25" s="1">
        <v>0</v>
      </c>
      <c r="K25" s="1">
        <v>0.43</v>
      </c>
      <c r="L25" s="1">
        <v>20464.1</v>
      </c>
      <c r="M25" s="1">
        <v>0</v>
      </c>
      <c r="N25" s="1">
        <v>5399.5</v>
      </c>
      <c r="O25" s="1">
        <v>300.8</v>
      </c>
      <c r="P25" s="1">
        <v>0</v>
      </c>
      <c r="Q25" s="1">
        <v>4237.6</v>
      </c>
      <c r="R25" s="1">
        <v>2511.8</v>
      </c>
      <c r="S25" s="1">
        <v>0</v>
      </c>
      <c r="T25" s="1">
        <v>2191.9</v>
      </c>
      <c r="U25" s="1">
        <v>0</v>
      </c>
      <c r="V25" s="1">
        <v>5822.5</v>
      </c>
    </row>
    <row r="26" spans="1:22">
      <c r="A26" s="1" t="s">
        <v>42</v>
      </c>
      <c r="B26" s="1" t="s">
        <v>75</v>
      </c>
      <c r="C26" s="1">
        <v>37</v>
      </c>
      <c r="D26" s="1">
        <v>117</v>
      </c>
      <c r="E26" s="1">
        <v>9416.6</v>
      </c>
      <c r="F26" s="1">
        <v>-138.14</v>
      </c>
      <c r="G26" s="1">
        <v>556.71</v>
      </c>
      <c r="H26" s="1">
        <v>793.73</v>
      </c>
      <c r="I26" s="1">
        <v>0</v>
      </c>
      <c r="J26" s="1">
        <v>0</v>
      </c>
      <c r="K26" s="1">
        <v>0.2</v>
      </c>
      <c r="L26" s="1">
        <v>10629.1</v>
      </c>
      <c r="M26" s="1">
        <v>0</v>
      </c>
      <c r="N26" s="1">
        <v>2385.7</v>
      </c>
      <c r="O26" s="1">
        <v>0</v>
      </c>
      <c r="P26" s="1">
        <v>0</v>
      </c>
      <c r="Q26" s="1">
        <v>3124.4</v>
      </c>
      <c r="R26" s="1">
        <v>1584.4</v>
      </c>
      <c r="S26" s="1">
        <v>0</v>
      </c>
      <c r="T26" s="1">
        <v>2336.3</v>
      </c>
      <c r="U26" s="1">
        <v>0</v>
      </c>
      <c r="V26" s="1">
        <v>1198.3</v>
      </c>
    </row>
    <row r="27" spans="1:22">
      <c r="A27" s="1" t="s">
        <v>43</v>
      </c>
      <c r="B27" s="1" t="s">
        <v>75</v>
      </c>
      <c r="C27" s="1">
        <v>18</v>
      </c>
      <c r="D27" s="1">
        <v>70</v>
      </c>
      <c r="E27" s="1">
        <v>5239.96</v>
      </c>
      <c r="F27" s="1">
        <v>-133.47</v>
      </c>
      <c r="G27" s="1">
        <v>306.41</v>
      </c>
      <c r="H27" s="1">
        <v>499.65</v>
      </c>
      <c r="I27" s="1">
        <v>0</v>
      </c>
      <c r="J27" s="1">
        <v>0</v>
      </c>
      <c r="K27" s="1">
        <v>0.15</v>
      </c>
      <c r="L27" s="1">
        <v>5912.7</v>
      </c>
      <c r="M27" s="1">
        <v>0</v>
      </c>
      <c r="N27" s="1">
        <v>136.1</v>
      </c>
      <c r="O27" s="1">
        <v>0</v>
      </c>
      <c r="P27" s="1">
        <v>0</v>
      </c>
      <c r="Q27" s="1">
        <v>1288.2</v>
      </c>
      <c r="R27" s="1">
        <v>598.2</v>
      </c>
      <c r="S27" s="1">
        <v>0</v>
      </c>
      <c r="T27" s="1">
        <v>348.3</v>
      </c>
      <c r="U27" s="1">
        <v>0</v>
      </c>
      <c r="V27" s="1">
        <v>3541.9</v>
      </c>
    </row>
    <row r="28" spans="1:22">
      <c r="A28" s="1" t="s">
        <v>44</v>
      </c>
      <c r="B28" s="1" t="s">
        <v>75</v>
      </c>
      <c r="C28" s="1">
        <v>12</v>
      </c>
      <c r="D28" s="1">
        <v>36</v>
      </c>
      <c r="E28" s="1">
        <v>2634.32</v>
      </c>
      <c r="F28" s="1">
        <v>0</v>
      </c>
      <c r="G28" s="1">
        <v>158.06</v>
      </c>
      <c r="H28" s="1">
        <v>204.83</v>
      </c>
      <c r="I28" s="1">
        <v>0</v>
      </c>
      <c r="J28" s="1">
        <v>0</v>
      </c>
      <c r="K28" s="1">
        <v>-0.01</v>
      </c>
      <c r="L28" s="1">
        <v>2997.2</v>
      </c>
      <c r="M28" s="1">
        <v>0</v>
      </c>
      <c r="N28" s="1">
        <v>1335.3</v>
      </c>
      <c r="O28" s="1">
        <v>0</v>
      </c>
      <c r="P28" s="1">
        <v>0</v>
      </c>
      <c r="Q28" s="1">
        <v>357.3</v>
      </c>
      <c r="R28" s="1">
        <v>0</v>
      </c>
      <c r="S28" s="1">
        <v>324.4</v>
      </c>
      <c r="T28" s="1">
        <v>296.8</v>
      </c>
      <c r="U28" s="1">
        <v>0</v>
      </c>
      <c r="V28" s="1">
        <v>683.4</v>
      </c>
    </row>
    <row r="29" spans="1:22">
      <c r="A29" s="1" t="s">
        <v>45</v>
      </c>
      <c r="B29" s="1" t="s">
        <v>75</v>
      </c>
      <c r="C29" s="1">
        <v>25</v>
      </c>
      <c r="D29" s="1">
        <v>73</v>
      </c>
      <c r="E29" s="1">
        <v>5678.7</v>
      </c>
      <c r="F29" s="1">
        <v>-85.09</v>
      </c>
      <c r="G29" s="1">
        <v>335.64</v>
      </c>
      <c r="H29" s="1">
        <v>521.1</v>
      </c>
      <c r="I29" s="1">
        <v>0</v>
      </c>
      <c r="J29" s="1">
        <v>0</v>
      </c>
      <c r="K29" s="1">
        <v>0.15</v>
      </c>
      <c r="L29" s="1">
        <v>6450.5</v>
      </c>
      <c r="M29" s="1">
        <v>0</v>
      </c>
      <c r="N29" s="1">
        <v>1621.8</v>
      </c>
      <c r="O29" s="1">
        <v>0</v>
      </c>
      <c r="P29" s="1">
        <v>0</v>
      </c>
      <c r="Q29" s="1">
        <v>1970.9</v>
      </c>
      <c r="R29" s="1">
        <v>917.2</v>
      </c>
      <c r="S29" s="1">
        <v>0</v>
      </c>
      <c r="T29" s="1">
        <v>1085.9</v>
      </c>
      <c r="U29" s="1">
        <v>0</v>
      </c>
      <c r="V29" s="1">
        <v>854.7</v>
      </c>
    </row>
    <row r="30" spans="1:22">
      <c r="A30" s="1" t="s">
        <v>46</v>
      </c>
      <c r="B30" s="1" t="s">
        <v>75</v>
      </c>
      <c r="C30" s="1">
        <v>23</v>
      </c>
      <c r="D30" s="1">
        <v>70</v>
      </c>
      <c r="E30" s="1">
        <v>5140.54</v>
      </c>
      <c r="F30" s="1">
        <v>0</v>
      </c>
      <c r="G30" s="1">
        <v>308.45</v>
      </c>
      <c r="H30" s="1">
        <v>435.75</v>
      </c>
      <c r="I30" s="1">
        <v>0</v>
      </c>
      <c r="J30" s="1">
        <v>0</v>
      </c>
      <c r="K30" s="1">
        <v>0.06</v>
      </c>
      <c r="L30" s="1">
        <v>5884.8</v>
      </c>
      <c r="M30" s="1">
        <v>0</v>
      </c>
      <c r="N30" s="1">
        <v>619.2</v>
      </c>
      <c r="O30" s="1">
        <v>0</v>
      </c>
      <c r="P30" s="1">
        <v>0</v>
      </c>
      <c r="Q30" s="1">
        <v>0</v>
      </c>
      <c r="R30" s="1">
        <v>206.7</v>
      </c>
      <c r="S30" s="1">
        <v>297.9</v>
      </c>
      <c r="T30" s="1">
        <v>2249</v>
      </c>
      <c r="U30" s="1">
        <v>0</v>
      </c>
      <c r="V30" s="1">
        <v>2512</v>
      </c>
    </row>
    <row r="31" spans="1:22">
      <c r="A31" s="1" t="s">
        <v>47</v>
      </c>
      <c r="B31" s="1" t="s">
        <v>75</v>
      </c>
      <c r="C31" s="1">
        <v>41</v>
      </c>
      <c r="D31" s="1">
        <v>161</v>
      </c>
      <c r="E31" s="1">
        <v>15672.86</v>
      </c>
      <c r="F31" s="1">
        <v>-290.85</v>
      </c>
      <c r="G31" s="1">
        <v>922.93</v>
      </c>
      <c r="H31" s="1">
        <v>1362.35</v>
      </c>
      <c r="I31" s="1">
        <v>0</v>
      </c>
      <c r="J31" s="1">
        <v>0</v>
      </c>
      <c r="K31" s="1">
        <v>0.51</v>
      </c>
      <c r="L31" s="1">
        <v>17667.8</v>
      </c>
      <c r="M31" s="1">
        <v>0</v>
      </c>
      <c r="N31" s="1">
        <v>3834.6</v>
      </c>
      <c r="O31" s="1">
        <v>461.7</v>
      </c>
      <c r="P31" s="1">
        <v>0</v>
      </c>
      <c r="Q31" s="1">
        <v>4604</v>
      </c>
      <c r="R31" s="1">
        <v>2448.2</v>
      </c>
      <c r="S31" s="1">
        <v>0</v>
      </c>
      <c r="T31" s="1">
        <v>2235.2</v>
      </c>
      <c r="U31" s="1">
        <v>0</v>
      </c>
      <c r="V31" s="1">
        <v>4084.1</v>
      </c>
    </row>
    <row r="32" spans="1:22">
      <c r="A32" s="1" t="s">
        <v>48</v>
      </c>
      <c r="B32" s="1" t="s">
        <v>75</v>
      </c>
      <c r="C32" s="1">
        <v>65</v>
      </c>
      <c r="D32" s="1">
        <v>222</v>
      </c>
      <c r="E32" s="1">
        <v>20823.9</v>
      </c>
      <c r="F32" s="1">
        <v>-311.97</v>
      </c>
      <c r="G32" s="1">
        <v>1230.7</v>
      </c>
      <c r="H32" s="1">
        <v>1865.24</v>
      </c>
      <c r="I32" s="1">
        <v>0</v>
      </c>
      <c r="J32" s="1">
        <v>0</v>
      </c>
      <c r="K32" s="1">
        <v>0.53</v>
      </c>
      <c r="L32" s="1">
        <v>23608.4</v>
      </c>
      <c r="M32" s="1">
        <v>147.1</v>
      </c>
      <c r="N32" s="1">
        <v>4252.9</v>
      </c>
      <c r="O32" s="1">
        <v>554.1</v>
      </c>
      <c r="P32" s="1">
        <v>0</v>
      </c>
      <c r="Q32" s="1">
        <v>8625.3</v>
      </c>
      <c r="R32" s="1">
        <v>1978.6</v>
      </c>
      <c r="S32" s="1">
        <v>552.5</v>
      </c>
      <c r="T32" s="1">
        <v>3171.6</v>
      </c>
      <c r="U32" s="1">
        <v>0</v>
      </c>
      <c r="V32" s="1">
        <v>4326.3</v>
      </c>
    </row>
    <row r="33" spans="1:22">
      <c r="A33" s="1" t="s">
        <v>49</v>
      </c>
      <c r="B33" s="1" t="s">
        <v>75</v>
      </c>
      <c r="C33" s="1">
        <v>36</v>
      </c>
      <c r="D33" s="1">
        <v>121</v>
      </c>
      <c r="E33" s="1">
        <v>9265.5</v>
      </c>
      <c r="F33" s="1">
        <v>-2</v>
      </c>
      <c r="G33" s="1">
        <v>555.83</v>
      </c>
      <c r="H33" s="1">
        <v>709.57</v>
      </c>
      <c r="I33" s="1">
        <v>0</v>
      </c>
      <c r="J33" s="1">
        <v>0</v>
      </c>
      <c r="K33" s="1">
        <v>0</v>
      </c>
      <c r="L33" s="1">
        <v>10528.9</v>
      </c>
      <c r="M33" s="1">
        <v>0</v>
      </c>
      <c r="N33" s="1">
        <v>845</v>
      </c>
      <c r="O33" s="1">
        <v>0</v>
      </c>
      <c r="P33" s="1">
        <v>0</v>
      </c>
      <c r="Q33" s="1">
        <v>3158.4</v>
      </c>
      <c r="R33" s="1">
        <v>970.4</v>
      </c>
      <c r="S33" s="1">
        <v>376.1</v>
      </c>
      <c r="T33" s="1">
        <v>2814.1</v>
      </c>
      <c r="U33" s="1">
        <v>0</v>
      </c>
      <c r="V33" s="1">
        <v>2364.9</v>
      </c>
    </row>
    <row r="34" spans="1:22">
      <c r="A34" s="1" t="s">
        <v>50</v>
      </c>
      <c r="B34" s="1" t="s">
        <v>75</v>
      </c>
      <c r="C34" s="1">
        <v>22</v>
      </c>
      <c r="D34" s="1">
        <v>62</v>
      </c>
      <c r="E34" s="1">
        <v>4763.36</v>
      </c>
      <c r="F34" s="1">
        <v>-81.3</v>
      </c>
      <c r="G34" s="1">
        <v>280.95</v>
      </c>
      <c r="H34" s="1">
        <v>422.17</v>
      </c>
      <c r="I34" s="1">
        <v>0</v>
      </c>
      <c r="J34" s="1">
        <v>0</v>
      </c>
      <c r="K34" s="1">
        <v>0.42</v>
      </c>
      <c r="L34" s="1">
        <v>5385.6</v>
      </c>
      <c r="M34" s="1">
        <v>0</v>
      </c>
      <c r="N34" s="1">
        <v>1131.8</v>
      </c>
      <c r="O34" s="1">
        <v>0</v>
      </c>
      <c r="P34" s="1">
        <v>0</v>
      </c>
      <c r="Q34" s="1">
        <v>513.7</v>
      </c>
      <c r="R34" s="1">
        <v>343.4</v>
      </c>
      <c r="S34" s="1">
        <v>0</v>
      </c>
      <c r="T34" s="1">
        <v>1181.6</v>
      </c>
      <c r="U34" s="1">
        <v>0</v>
      </c>
      <c r="V34" s="1">
        <v>2215.1</v>
      </c>
    </row>
    <row r="35" spans="1:22">
      <c r="A35" s="1" t="s">
        <v>51</v>
      </c>
      <c r="B35" s="1" t="s">
        <v>75</v>
      </c>
      <c r="C35" s="1">
        <v>31</v>
      </c>
      <c r="D35" s="1">
        <v>123</v>
      </c>
      <c r="E35" s="1">
        <v>6682.6</v>
      </c>
      <c r="F35" s="1">
        <v>-15.56</v>
      </c>
      <c r="G35" s="1">
        <v>400.01</v>
      </c>
      <c r="H35" s="1">
        <v>624.54</v>
      </c>
      <c r="I35" s="1">
        <v>0</v>
      </c>
      <c r="J35" s="1">
        <v>0</v>
      </c>
      <c r="K35" s="1">
        <v>0.21</v>
      </c>
      <c r="L35" s="1">
        <v>7691.8</v>
      </c>
      <c r="M35" s="1">
        <v>0</v>
      </c>
      <c r="N35" s="1">
        <v>2568.8</v>
      </c>
      <c r="O35" s="1">
        <v>0</v>
      </c>
      <c r="P35" s="1">
        <v>0</v>
      </c>
      <c r="Q35" s="1">
        <v>1113.8</v>
      </c>
      <c r="R35" s="1">
        <v>1319.3</v>
      </c>
      <c r="S35" s="1">
        <v>0</v>
      </c>
      <c r="T35" s="1">
        <v>680.4</v>
      </c>
      <c r="U35" s="1">
        <v>0</v>
      </c>
      <c r="V35" s="1">
        <v>2009.5</v>
      </c>
    </row>
    <row r="36" spans="1:22">
      <c r="A36" s="1" t="s">
        <v>52</v>
      </c>
      <c r="B36" s="1" t="s">
        <v>75</v>
      </c>
      <c r="C36" s="1">
        <v>22</v>
      </c>
      <c r="D36" s="1">
        <v>52</v>
      </c>
      <c r="E36" s="1">
        <v>4528.12</v>
      </c>
      <c r="F36" s="1">
        <v>0</v>
      </c>
      <c r="G36" s="1">
        <v>271.69</v>
      </c>
      <c r="H36" s="1">
        <v>375.43</v>
      </c>
      <c r="I36" s="1">
        <v>0</v>
      </c>
      <c r="J36" s="1">
        <v>0</v>
      </c>
      <c r="K36" s="1">
        <v>0.06</v>
      </c>
      <c r="L36" s="1">
        <v>5175.3</v>
      </c>
      <c r="M36" s="1">
        <v>0</v>
      </c>
      <c r="N36" s="1">
        <v>1723.6</v>
      </c>
      <c r="O36" s="1">
        <v>394.4</v>
      </c>
      <c r="P36" s="1">
        <v>0</v>
      </c>
      <c r="Q36" s="1">
        <v>278</v>
      </c>
      <c r="R36" s="1">
        <v>0</v>
      </c>
      <c r="S36" s="1">
        <v>0</v>
      </c>
      <c r="T36" s="1">
        <v>1913.4</v>
      </c>
      <c r="U36" s="1">
        <v>0</v>
      </c>
      <c r="V36" s="1">
        <v>865.9</v>
      </c>
    </row>
    <row r="37" spans="1:22">
      <c r="A37" s="1" t="s">
        <v>53</v>
      </c>
      <c r="B37" s="1" t="s">
        <v>75</v>
      </c>
      <c r="C37" s="1">
        <v>28</v>
      </c>
      <c r="D37" s="1">
        <v>94</v>
      </c>
      <c r="E37" s="1">
        <v>7124.3</v>
      </c>
      <c r="F37" s="1">
        <v>-249.7</v>
      </c>
      <c r="G37" s="1">
        <v>412.5</v>
      </c>
      <c r="H37" s="1">
        <v>649.58</v>
      </c>
      <c r="I37" s="1">
        <v>0</v>
      </c>
      <c r="J37" s="1">
        <v>0</v>
      </c>
      <c r="K37" s="1">
        <v>0.12</v>
      </c>
      <c r="L37" s="1">
        <v>7936.8</v>
      </c>
      <c r="M37" s="1">
        <v>0</v>
      </c>
      <c r="N37" s="1">
        <v>1298.5</v>
      </c>
      <c r="O37" s="1">
        <v>289.5</v>
      </c>
      <c r="P37" s="1">
        <v>0</v>
      </c>
      <c r="Q37" s="1">
        <v>791.2</v>
      </c>
      <c r="R37" s="1">
        <v>1614.8</v>
      </c>
      <c r="S37" s="1">
        <v>0</v>
      </c>
      <c r="T37" s="1">
        <v>2010.4</v>
      </c>
      <c r="U37" s="1">
        <v>0</v>
      </c>
      <c r="V37" s="1">
        <v>1932.4</v>
      </c>
    </row>
    <row r="38" spans="1:22">
      <c r="A38" s="3" t="s">
        <v>54</v>
      </c>
      <c r="B38" s="3" t="s">
        <v>54</v>
      </c>
      <c r="C38" s="3">
        <f t="shared" ref="C38:V38" si="0">SUM(C7:C37)</f>
        <v>1009</v>
      </c>
      <c r="D38" s="3">
        <f t="shared" si="0"/>
        <v>3362</v>
      </c>
      <c r="E38" s="3">
        <f t="shared" si="0"/>
        <v>274378.82</v>
      </c>
      <c r="F38" s="3">
        <f t="shared" si="0"/>
        <v>-4187.39</v>
      </c>
      <c r="G38" s="3">
        <f t="shared" si="0"/>
        <v>16211.83</v>
      </c>
      <c r="H38" s="3">
        <f t="shared" si="0"/>
        <v>24346.42</v>
      </c>
      <c r="I38" s="3">
        <f t="shared" si="0"/>
        <v>0</v>
      </c>
      <c r="J38" s="3">
        <f t="shared" si="0"/>
        <v>0</v>
      </c>
      <c r="K38" s="3">
        <f t="shared" si="0"/>
        <v>6.22</v>
      </c>
      <c r="L38" s="3">
        <f t="shared" si="0"/>
        <v>310755.9</v>
      </c>
      <c r="M38" s="3">
        <f t="shared" si="0"/>
        <v>790.3</v>
      </c>
      <c r="N38" s="3">
        <f t="shared" si="0"/>
        <v>64348.9</v>
      </c>
      <c r="O38" s="3">
        <f t="shared" si="0"/>
        <v>4399.2</v>
      </c>
      <c r="P38" s="3">
        <f t="shared" si="0"/>
        <v>520.8</v>
      </c>
      <c r="Q38" s="3">
        <f t="shared" si="0"/>
        <v>72476.1</v>
      </c>
      <c r="R38" s="3">
        <f t="shared" si="0"/>
        <v>36506.2</v>
      </c>
      <c r="S38" s="3">
        <f t="shared" si="0"/>
        <v>3116.9</v>
      </c>
      <c r="T38" s="3">
        <f t="shared" si="0"/>
        <v>45912.5</v>
      </c>
      <c r="U38" s="3">
        <f t="shared" si="0"/>
        <v>55.7</v>
      </c>
      <c r="V38" s="3">
        <f t="shared" si="0"/>
        <v>82629.3</v>
      </c>
    </row>
    <row r="39" ht="55" spans="14:15">
      <c r="N39" s="4" t="s">
        <v>55</v>
      </c>
      <c r="O39" s="5">
        <v>560.86</v>
      </c>
    </row>
    <row r="40" ht="55" spans="14:15">
      <c r="N40" s="4" t="s">
        <v>56</v>
      </c>
      <c r="O40" s="5">
        <v>145.07</v>
      </c>
    </row>
    <row r="41" ht="68" spans="14:15">
      <c r="N41" s="6" t="s">
        <v>57</v>
      </c>
      <c r="O41" s="7">
        <f>O38-O39-O40</f>
        <v>3693.27</v>
      </c>
    </row>
    <row r="43" spans="13:20">
      <c r="M43" s="5"/>
      <c r="N43" s="8">
        <v>82629.3</v>
      </c>
      <c r="O43" s="8">
        <v>72476.1</v>
      </c>
      <c r="P43" s="8">
        <v>36506.2</v>
      </c>
      <c r="Q43" s="8">
        <v>55.7</v>
      </c>
      <c r="R43" s="8"/>
      <c r="S43" s="18">
        <f>SUM(N43:R43)</f>
        <v>191667.3</v>
      </c>
      <c r="T43" s="19"/>
    </row>
    <row r="44" spans="13:20">
      <c r="M44" s="5" t="s">
        <v>58</v>
      </c>
      <c r="N44" s="5" t="s">
        <v>59</v>
      </c>
      <c r="O44" s="5" t="s">
        <v>60</v>
      </c>
      <c r="P44" s="5" t="s">
        <v>61</v>
      </c>
      <c r="Q44" s="5" t="s">
        <v>62</v>
      </c>
      <c r="R44" s="5" t="s">
        <v>63</v>
      </c>
      <c r="S44" s="5" t="s">
        <v>64</v>
      </c>
      <c r="T44" s="20">
        <f>Q38+R38+U38+V38</f>
        <v>191667.3</v>
      </c>
    </row>
    <row r="45" spans="13:20">
      <c r="M45" s="9"/>
      <c r="N45" s="9"/>
      <c r="O45" s="9"/>
      <c r="P45" s="9"/>
      <c r="Q45" s="9"/>
      <c r="R45" s="9"/>
      <c r="S45" s="9"/>
      <c r="T45" s="9"/>
    </row>
    <row r="46" ht="20.4" spans="13:20">
      <c r="M46" s="10" t="s">
        <v>13</v>
      </c>
      <c r="N46" s="10"/>
      <c r="O46" s="10"/>
      <c r="P46" s="10"/>
      <c r="Q46" s="9"/>
      <c r="R46" s="21"/>
      <c r="S46" s="21"/>
      <c r="T46" s="21"/>
    </row>
    <row r="47" ht="41" spans="13:20">
      <c r="M47" s="4" t="s">
        <v>65</v>
      </c>
      <c r="N47" s="11" t="s">
        <v>66</v>
      </c>
      <c r="O47" s="4" t="s">
        <v>67</v>
      </c>
      <c r="P47" s="5" t="s">
        <v>68</v>
      </c>
      <c r="Q47" s="9"/>
      <c r="R47" s="21"/>
      <c r="S47" s="21"/>
      <c r="T47" s="21"/>
    </row>
    <row r="48" spans="13:20">
      <c r="M48" s="12" t="s">
        <v>69</v>
      </c>
      <c r="N48" s="13">
        <v>412.4</v>
      </c>
      <c r="O48" s="5"/>
      <c r="P48" s="14">
        <f>N48-O48</f>
        <v>412.4</v>
      </c>
      <c r="Q48" s="9"/>
      <c r="R48" s="21"/>
      <c r="S48" s="21"/>
      <c r="T48" s="21"/>
    </row>
    <row r="49" spans="13:20">
      <c r="M49" s="12" t="s">
        <v>70</v>
      </c>
      <c r="N49" s="15">
        <v>230.8</v>
      </c>
      <c r="O49" s="13">
        <v>634.84</v>
      </c>
      <c r="P49" s="14">
        <f>N49-O49</f>
        <v>-404.04</v>
      </c>
      <c r="Q49" s="9"/>
      <c r="R49" s="21"/>
      <c r="S49" s="21"/>
      <c r="T49" s="21"/>
    </row>
    <row r="50" spans="13:20">
      <c r="M50" s="12" t="s">
        <v>71</v>
      </c>
      <c r="N50" s="5">
        <v>147.1</v>
      </c>
      <c r="O50" s="5">
        <v>145.19</v>
      </c>
      <c r="P50" s="14">
        <f t="shared" ref="P50:P55" si="1">N50-O50</f>
        <v>1.91</v>
      </c>
      <c r="Q50" s="9"/>
      <c r="R50" s="21"/>
      <c r="S50" s="21"/>
      <c r="T50" s="21"/>
    </row>
    <row r="51" spans="13:20">
      <c r="M51" s="12"/>
      <c r="N51" s="5"/>
      <c r="O51" s="5"/>
      <c r="P51" s="14">
        <f t="shared" si="1"/>
        <v>0</v>
      </c>
      <c r="Q51" s="9"/>
      <c r="R51" s="21"/>
      <c r="S51" s="21"/>
      <c r="T51" s="21"/>
    </row>
    <row r="52" spans="13:20">
      <c r="M52" s="5"/>
      <c r="N52" s="5"/>
      <c r="O52" s="5"/>
      <c r="P52" s="14">
        <f t="shared" si="1"/>
        <v>0</v>
      </c>
      <c r="Q52" s="9"/>
      <c r="R52" s="21"/>
      <c r="S52" s="21"/>
      <c r="T52" s="21"/>
    </row>
    <row r="53" spans="13:20">
      <c r="M53" s="5"/>
      <c r="N53" s="5"/>
      <c r="O53" s="5"/>
      <c r="P53" s="14">
        <f t="shared" si="1"/>
        <v>0</v>
      </c>
      <c r="Q53" s="9"/>
      <c r="R53" s="21"/>
      <c r="S53" s="21"/>
      <c r="T53" s="21"/>
    </row>
    <row r="54" spans="13:20">
      <c r="M54" s="5"/>
      <c r="N54" s="5"/>
      <c r="O54" s="5"/>
      <c r="P54" s="14">
        <f t="shared" si="1"/>
        <v>0</v>
      </c>
      <c r="Q54" s="9"/>
      <c r="R54" s="21"/>
      <c r="S54" s="21"/>
      <c r="T54" s="21"/>
    </row>
    <row r="55" spans="13:20">
      <c r="M55" s="5"/>
      <c r="N55" s="5"/>
      <c r="O55" s="5"/>
      <c r="P55" s="14">
        <f t="shared" si="1"/>
        <v>0</v>
      </c>
      <c r="Q55" s="9"/>
      <c r="R55" s="21"/>
      <c r="S55" s="21"/>
      <c r="T55" s="21"/>
    </row>
    <row r="56" spans="13:20">
      <c r="M56" s="16" t="s">
        <v>64</v>
      </c>
      <c r="N56" s="17">
        <f>SUM(N48:N55)</f>
        <v>790.3</v>
      </c>
      <c r="O56" s="17">
        <f>SUM(O48:O55)</f>
        <v>780.03</v>
      </c>
      <c r="P56" s="17">
        <f>SUM(P48:P55)</f>
        <v>10.27</v>
      </c>
      <c r="Q56" s="9"/>
      <c r="R56" s="21"/>
      <c r="S56" s="21"/>
      <c r="T56" s="2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(2)</vt:lpstr>
      <vt:lpstr>1.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jarvischu</cp:lastModifiedBy>
  <dcterms:created xsi:type="dcterms:W3CDTF">2025-08-04T15:06:00Z</dcterms:created>
  <dcterms:modified xsi:type="dcterms:W3CDTF">2026-02-09T16:24:45Z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91A72FC426913D8FCD998969A98D85B9_42</vt:lpwstr>
  </property>
</Properties>
</file>