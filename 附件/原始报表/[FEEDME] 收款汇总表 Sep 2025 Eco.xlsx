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60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S43" authorId="0">
      <text>
        <r>
          <rPr>
            <sz val="9"/>
            <rFont val="Tahoma"/>
            <charset val="134"/>
          </rPr>
          <t>差一个30/9的mydebit RM515.8
1/10会进到我们acc，bank charge算在10月份</t>
        </r>
      </text>
    </comment>
  </commentList>
</comments>
</file>

<file path=xl/sharedStrings.xml><?xml version="1.0" encoding="utf-8"?>
<sst xmlns="http://schemas.openxmlformats.org/spreadsheetml/2006/main" count="108" uniqueCount="76">
  <si>
    <t>Daily Sales</t>
  </si>
  <si>
    <t>Date: 01/09/2025 - 30/09/2025</t>
  </si>
  <si>
    <t>Time: 00:00 - 23:59</t>
  </si>
  <si>
    <t>Merchant: 肥肥蟹海鲜饭店 Eco Botanic Fei Fei Crab Restaurant JB</t>
  </si>
  <si>
    <t>Generated by: 01 Oct 2025, 12:28 PM (UTC+08:00)</t>
  </si>
  <si>
    <t>Time</t>
  </si>
  <si>
    <t>Name</t>
  </si>
  <si>
    <t>Qty</t>
  </si>
  <si>
    <t>Pax</t>
  </si>
  <si>
    <t>Gross</t>
  </si>
  <si>
    <t>Discount</t>
  </si>
  <si>
    <t>SST</t>
  </si>
  <si>
    <t>SC</t>
  </si>
  <si>
    <t>Other Charge</t>
  </si>
  <si>
    <t>Delivery fee</t>
  </si>
  <si>
    <t>Rounding</t>
  </si>
  <si>
    <t>Nett</t>
  </si>
  <si>
    <t>ALI PAY</t>
  </si>
  <si>
    <t>AMEX</t>
  </si>
  <si>
    <t>CASH</t>
  </si>
  <si>
    <t>GRAB PAY</t>
  </si>
  <si>
    <t>MASTER</t>
  </si>
  <si>
    <t>MY DEBIT</t>
  </si>
  <si>
    <t>ONLINE BANKING</t>
  </si>
  <si>
    <t>TOUCH N GO</t>
  </si>
  <si>
    <t>VISA</t>
  </si>
  <si>
    <t>Voucher</t>
  </si>
  <si>
    <t>01/09/2025</t>
  </si>
  <si>
    <t>肥肥蟹海鲜饭店 Eco Botanic Fei Fei Crab Restaurant JB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</si>
  <si>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</si>
  <si>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</si>
  <si>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</si>
  <si>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</si>
  <si>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</si>
  <si>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</si>
  <si>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</si>
  <si>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</si>
  <si>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</si>
  <si>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</si>
  <si>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</si>
  <si>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</si>
  <si>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</si>
  <si>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</si>
  <si>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</si>
  <si>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</si>
  <si>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</si>
  <si>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</si>
  <si>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</si>
  <si>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</si>
  <si>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</si>
  <si>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</si>
  <si>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</si>
  <si>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</si>
  <si>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</si>
  <si>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</si>
  <si>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</si>
  <si>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</si>
  <si>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</si>
  <si>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/>
  </si>
  <si>
    <t>deduct MFD 
(Merchant Funded Discount)</t>
  </si>
  <si>
    <t>deduct GF Commission
(including tax)</t>
  </si>
  <si>
    <t>net GF Dine Out Deals
payment received</t>
  </si>
  <si>
    <t>from statement</t>
  </si>
  <si>
    <t>visa</t>
  </si>
  <si>
    <t>master</t>
  </si>
  <si>
    <t>mydebit</t>
  </si>
  <si>
    <t>unionpay</t>
  </si>
  <si>
    <t>Amex</t>
  </si>
  <si>
    <t>Total</t>
  </si>
  <si>
    <t>pay date</t>
  </si>
  <si>
    <t>Customer pay
amount</t>
  </si>
  <si>
    <t>bank actual 
received</t>
  </si>
  <si>
    <t>Amex charge</t>
  </si>
  <si>
    <t>21/9</t>
  </si>
  <si>
    <t>25/9</t>
  </si>
  <si>
    <t>26/9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</si>
</sst>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9"/>
      <color theme="1"/>
      <name val="Tahoma"/>
      <charset val="134"/>
    </font>
    <font>
      <b/>
      <sz val="9"/>
      <color theme="1"/>
      <name val="Tahoma"/>
      <charset val="134"/>
    </font>
    <font>
      <b/>
      <sz val="14"/>
      <color theme="1"/>
      <name val="Tahoma"/>
      <charset val="134"/>
    </font>
    <font>
      <i/>
      <sz val="9"/>
      <color rgb="FFFF0000"/>
      <name val="Tahoma"/>
      <charset val="134"/>
    </font>
    <font>
      <sz val="9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2" fontId="1" fillId="0" borderId="0" xfId="0" applyNumberFormat="1" applyFont="1"/>
    <xf numFmtId="2" fontId="2" fillId="3" borderId="0" xfId="0" applyNumberFormat="1" applyFont="1" applyFill="1"/>
    <xf numFmtId="2" fontId="2" fillId="4" borderId="0" xfId="0" applyNumberFormat="1" applyFont="1" applyFill="1"/>
    <xf numFmtId="2" fontId="1" fillId="5" borderId="0" xfId="0" applyNumberFormat="1" applyFont="1" applyFill="1"/>
    <xf numFmtId="2" fontId="1" fillId="6" borderId="0" xfId="0" applyNumberFormat="1" applyFont="1" applyFill="1"/>
    <xf numFmtId="2" fontId="1" fillId="7" borderId="0" xfId="0" applyNumberFormat="1" applyFont="1" applyFill="1"/>
    <xf numFmtId="0" fontId="3" fillId="0" borderId="1" xfId="0" applyNumberFormat="1" applyFont="1" applyBorder="1" applyAlignment="1">
      <alignment wrapText="1"/>
    </xf>
    <xf numFmtId="0" fontId="3" fillId="0" borderId="1" xfId="0" applyNumberFormat="1" applyFont="1" applyBorder="1"/>
    <xf numFmtId="0" fontId="4" fillId="8" borderId="1" xfId="0" applyNumberFormat="1" applyFont="1" applyFill="1" applyBorder="1" applyAlignment="1">
      <alignment wrapText="1"/>
    </xf>
    <xf numFmtId="2" fontId="4" fillId="8" borderId="1" xfId="0" applyNumberFormat="1" applyFont="1" applyFill="1" applyBorder="1"/>
    <xf numFmtId="2" fontId="4" fillId="0" borderId="1" xfId="0" applyNumberFormat="1" applyFont="1" applyFill="1" applyBorder="1"/>
    <xf numFmtId="0" fontId="3" fillId="0" borderId="0" xfId="0" applyNumberFormat="1" applyFont="1" applyBorder="1"/>
    <xf numFmtId="0" fontId="5" fillId="0" borderId="2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wrapText="1"/>
    </xf>
    <xf numFmtId="49" fontId="3" fillId="0" borderId="1" xfId="0" applyNumberFormat="1" applyFont="1" applyFill="1" applyBorder="1"/>
    <xf numFmtId="0" fontId="3" fillId="0" borderId="1" xfId="0" applyNumberFormat="1" applyFont="1" applyFill="1" applyBorder="1"/>
    <xf numFmtId="2" fontId="3" fillId="0" borderId="1" xfId="0" applyNumberFormat="1" applyFont="1" applyBorder="1"/>
    <xf numFmtId="2" fontId="3" fillId="0" borderId="1" xfId="0" applyNumberFormat="1" applyFont="1" applyFill="1" applyBorder="1"/>
    <xf numFmtId="0" fontId="3" fillId="8" borderId="0" xfId="0" applyNumberFormat="1" applyFont="1" applyFill="1"/>
    <xf numFmtId="2" fontId="3" fillId="8" borderId="0" xfId="0" applyNumberFormat="1" applyFont="1" applyFill="1"/>
    <xf numFmtId="2" fontId="1" fillId="9" borderId="0" xfId="0" applyNumberFormat="1" applyFont="1" applyFill="1"/>
    <xf numFmtId="176" fontId="3" fillId="10" borderId="1" xfId="0" applyNumberFormat="1" applyFont="1" applyFill="1" applyBorder="1"/>
    <xf numFmtId="2" fontId="6" fillId="0" borderId="0" xfId="0" applyNumberFormat="1" applyFont="1" applyFill="1"/>
    <xf numFmtId="2" fontId="3" fillId="10" borderId="0" xfId="0" applyNumberFormat="1" applyFont="1" applyFill="1"/>
    <xf numFmtId="0" fontId="3" fillId="0" borderId="0" xfId="0" applyNumberFormat="1" applyFont="1"/>
    <xf numFmtId="0" fontId="7" fillId="0" borderId="0" xfId="0" applyNumberFormat="1" applyFont="1"/>
    <xf numFmtId="2" fontId="0" fillId="4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"/>
  <sheetViews>
    <sheetView tabSelected="1" workbookViewId="0">
      <pane xSplit="3" ySplit="7" topLeftCell="D20" activePane="bottomRight" state="frozen"/>
      <selection/>
      <selection pane="topRight"/>
      <selection pane="bottomLeft"/>
      <selection pane="bottomRight" activeCell="L40" sqref="L40"/>
    </sheetView>
  </sheetViews>
  <sheetFormatPr defaultColWidth="9" defaultRowHeight="16.8"/>
  <cols>
    <col min="1" max="4" width="9" style="1" customWidth="1"/>
    <col min="5" max="5" width="14.0961538461538" style="1" customWidth="1"/>
    <col min="6" max="11" width="9" style="1" customWidth="1"/>
    <col min="12" max="12" width="9.55769230769231" style="1" customWidth="1"/>
    <col min="13" max="22" width="9" style="1" customWidth="1"/>
    <col min="23" max="23" width="9.5576923076923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22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</row>
    <row r="8" spans="1:22">
      <c r="A8" s="1" t="s">
        <v>27</v>
      </c>
      <c r="B8" s="1" t="s">
        <v>28</v>
      </c>
      <c r="C8" s="1">
        <v>15</v>
      </c>
      <c r="D8" s="1">
        <v>45</v>
      </c>
      <c r="E8" s="4">
        <v>2883.7</v>
      </c>
      <c r="F8" s="4">
        <v>-271.06</v>
      </c>
      <c r="G8" s="4">
        <v>156.76</v>
      </c>
      <c r="H8" s="4">
        <v>260.79</v>
      </c>
      <c r="I8" s="4">
        <v>0</v>
      </c>
      <c r="J8" s="4">
        <v>0</v>
      </c>
      <c r="K8" s="4">
        <v>0.21</v>
      </c>
      <c r="L8" s="4">
        <v>3030.4</v>
      </c>
      <c r="M8" s="4">
        <v>0</v>
      </c>
      <c r="N8" s="4">
        <v>0</v>
      </c>
      <c r="O8" s="4">
        <v>349.7</v>
      </c>
      <c r="P8" s="4">
        <v>0</v>
      </c>
      <c r="Q8" s="4">
        <v>409.4</v>
      </c>
      <c r="R8" s="4">
        <v>0</v>
      </c>
      <c r="S8" s="4">
        <v>0</v>
      </c>
      <c r="T8" s="4">
        <v>311.5</v>
      </c>
      <c r="U8" s="4">
        <v>1959.8</v>
      </c>
      <c r="V8" s="4">
        <v>0</v>
      </c>
    </row>
    <row r="9" spans="1:22">
      <c r="A9" s="1" t="s">
        <v>29</v>
      </c>
      <c r="B9" s="1" t="s">
        <v>28</v>
      </c>
      <c r="C9" s="1">
        <v>5</v>
      </c>
      <c r="D9" s="1">
        <v>19</v>
      </c>
      <c r="E9" s="4">
        <v>2637.7</v>
      </c>
      <c r="F9" s="4">
        <v>-99.08</v>
      </c>
      <c r="G9" s="4">
        <v>154.42</v>
      </c>
      <c r="H9" s="4">
        <v>253.86</v>
      </c>
      <c r="I9" s="4">
        <v>0</v>
      </c>
      <c r="J9" s="4">
        <v>0</v>
      </c>
      <c r="K9" s="4">
        <v>-0.1</v>
      </c>
      <c r="L9" s="4">
        <v>2946.8</v>
      </c>
      <c r="M9" s="4">
        <v>0</v>
      </c>
      <c r="N9" s="4">
        <v>0</v>
      </c>
      <c r="O9" s="4">
        <v>176.3</v>
      </c>
      <c r="P9" s="4">
        <v>0</v>
      </c>
      <c r="Q9" s="4">
        <v>119</v>
      </c>
      <c r="R9" s="4">
        <v>0</v>
      </c>
      <c r="S9" s="4">
        <v>0</v>
      </c>
      <c r="T9" s="4">
        <v>1577.8</v>
      </c>
      <c r="U9" s="4">
        <v>1073.7</v>
      </c>
      <c r="V9" s="4">
        <v>0</v>
      </c>
    </row>
    <row r="10" spans="1:22">
      <c r="A10" s="1" t="s">
        <v>30</v>
      </c>
      <c r="B10" s="1" t="s">
        <v>28</v>
      </c>
      <c r="C10" s="1">
        <v>12</v>
      </c>
      <c r="D10" s="1">
        <v>34</v>
      </c>
      <c r="E10" s="4">
        <v>3660.9</v>
      </c>
      <c r="F10" s="4">
        <v>-532.4</v>
      </c>
      <c r="G10" s="4">
        <v>187.71</v>
      </c>
      <c r="H10" s="4">
        <v>292.64</v>
      </c>
      <c r="I10" s="4">
        <v>0</v>
      </c>
      <c r="J10" s="4">
        <v>0</v>
      </c>
      <c r="K10" s="4">
        <v>0.15</v>
      </c>
      <c r="L10" s="4">
        <v>3609</v>
      </c>
      <c r="M10" s="4">
        <v>0</v>
      </c>
      <c r="N10" s="4">
        <v>0</v>
      </c>
      <c r="O10" s="4">
        <v>207.3</v>
      </c>
      <c r="P10" s="4">
        <v>0</v>
      </c>
      <c r="Q10" s="4">
        <v>158.7</v>
      </c>
      <c r="R10" s="4">
        <v>499.1</v>
      </c>
      <c r="S10" s="4">
        <v>0</v>
      </c>
      <c r="T10" s="4">
        <v>0</v>
      </c>
      <c r="U10" s="4">
        <v>2743.9</v>
      </c>
      <c r="V10" s="4">
        <v>0</v>
      </c>
    </row>
    <row r="11" spans="1:22">
      <c r="A11" s="1" t="s">
        <v>31</v>
      </c>
      <c r="B11" s="1" t="s">
        <v>28</v>
      </c>
      <c r="C11" s="1">
        <v>22</v>
      </c>
      <c r="D11" s="1">
        <v>81</v>
      </c>
      <c r="E11" s="4">
        <v>6656.8</v>
      </c>
      <c r="F11" s="4">
        <v>-820.95</v>
      </c>
      <c r="G11" s="4">
        <v>353.23</v>
      </c>
      <c r="H11" s="4">
        <v>555.84</v>
      </c>
      <c r="I11" s="4">
        <v>0</v>
      </c>
      <c r="J11" s="4">
        <v>0</v>
      </c>
      <c r="K11" s="4">
        <v>0.18</v>
      </c>
      <c r="L11" s="4">
        <v>6745.1</v>
      </c>
      <c r="M11" s="4">
        <v>0</v>
      </c>
      <c r="N11" s="4">
        <v>0</v>
      </c>
      <c r="O11" s="4">
        <v>81.2</v>
      </c>
      <c r="P11" s="4">
        <v>0</v>
      </c>
      <c r="Q11" s="4">
        <v>1554</v>
      </c>
      <c r="R11" s="4">
        <v>0</v>
      </c>
      <c r="S11" s="4">
        <v>0</v>
      </c>
      <c r="T11" s="4">
        <v>1876.2</v>
      </c>
      <c r="U11" s="4">
        <v>3233.7</v>
      </c>
      <c r="V11" s="4">
        <v>0</v>
      </c>
    </row>
    <row r="12" spans="1:22">
      <c r="A12" s="1" t="s">
        <v>32</v>
      </c>
      <c r="B12" s="1" t="s">
        <v>28</v>
      </c>
      <c r="C12" s="1">
        <v>25</v>
      </c>
      <c r="D12" s="1">
        <v>87</v>
      </c>
      <c r="E12" s="4">
        <v>7888.1</v>
      </c>
      <c r="F12" s="4">
        <v>-933.36</v>
      </c>
      <c r="G12" s="4">
        <v>417.29</v>
      </c>
      <c r="H12" s="4">
        <v>664.84</v>
      </c>
      <c r="I12" s="4">
        <v>0</v>
      </c>
      <c r="J12" s="4">
        <v>0</v>
      </c>
      <c r="K12" s="4">
        <v>0.23</v>
      </c>
      <c r="L12" s="4">
        <v>8037.1</v>
      </c>
      <c r="M12" s="4">
        <v>0</v>
      </c>
      <c r="N12" s="4">
        <v>0</v>
      </c>
      <c r="O12" s="4">
        <v>1445.8</v>
      </c>
      <c r="P12" s="4">
        <v>0</v>
      </c>
      <c r="Q12" s="4">
        <v>1786.4</v>
      </c>
      <c r="R12" s="4">
        <v>613.1</v>
      </c>
      <c r="S12" s="4">
        <v>0</v>
      </c>
      <c r="T12" s="4">
        <v>455.7</v>
      </c>
      <c r="U12" s="4">
        <v>3736.1</v>
      </c>
      <c r="V12" s="4">
        <v>0</v>
      </c>
    </row>
    <row r="13" spans="1:22">
      <c r="A13" s="1" t="s">
        <v>33</v>
      </c>
      <c r="B13" s="1" t="s">
        <v>28</v>
      </c>
      <c r="C13" s="1">
        <v>25</v>
      </c>
      <c r="D13" s="1">
        <v>86</v>
      </c>
      <c r="E13" s="4">
        <v>7346.9</v>
      </c>
      <c r="F13" s="4">
        <v>-670.84</v>
      </c>
      <c r="G13" s="4">
        <v>400.59</v>
      </c>
      <c r="H13" s="4">
        <v>580.09</v>
      </c>
      <c r="I13" s="4">
        <v>0</v>
      </c>
      <c r="J13" s="4">
        <v>0</v>
      </c>
      <c r="K13" s="4">
        <v>0.26</v>
      </c>
      <c r="L13" s="4">
        <v>7657</v>
      </c>
      <c r="M13" s="4">
        <v>0</v>
      </c>
      <c r="N13" s="4">
        <v>0</v>
      </c>
      <c r="O13" s="4">
        <v>441.2</v>
      </c>
      <c r="P13" s="4">
        <v>0</v>
      </c>
      <c r="Q13" s="4">
        <v>2919.7</v>
      </c>
      <c r="R13" s="4">
        <v>274.6</v>
      </c>
      <c r="S13" s="4">
        <v>0</v>
      </c>
      <c r="T13" s="4">
        <v>874.6</v>
      </c>
      <c r="U13" s="4">
        <v>3146.9</v>
      </c>
      <c r="V13" s="4">
        <v>0</v>
      </c>
    </row>
    <row r="14" spans="1:22">
      <c r="A14" s="1" t="s">
        <v>34</v>
      </c>
      <c r="B14" s="1" t="s">
        <v>28</v>
      </c>
      <c r="C14" s="1">
        <v>23</v>
      </c>
      <c r="D14" s="1">
        <v>100</v>
      </c>
      <c r="E14" s="4">
        <v>9031.06</v>
      </c>
      <c r="F14" s="4">
        <v>-1033.28</v>
      </c>
      <c r="G14" s="4">
        <v>481.36</v>
      </c>
      <c r="H14" s="4">
        <v>799.77</v>
      </c>
      <c r="I14" s="4">
        <v>0</v>
      </c>
      <c r="J14" s="4">
        <v>0</v>
      </c>
      <c r="K14" s="4">
        <v>0.09</v>
      </c>
      <c r="L14" s="4">
        <v>9279</v>
      </c>
      <c r="M14" s="4">
        <v>0</v>
      </c>
      <c r="N14" s="4">
        <v>0</v>
      </c>
      <c r="O14" s="4">
        <v>919.6</v>
      </c>
      <c r="P14" s="4">
        <v>0</v>
      </c>
      <c r="Q14" s="4">
        <v>2802.6</v>
      </c>
      <c r="R14" s="4">
        <v>526.7</v>
      </c>
      <c r="S14" s="4">
        <v>0</v>
      </c>
      <c r="T14" s="4">
        <v>100</v>
      </c>
      <c r="U14" s="4">
        <v>4930.1</v>
      </c>
      <c r="V14" s="4">
        <v>0</v>
      </c>
    </row>
    <row r="15" spans="1:22">
      <c r="A15" s="1" t="s">
        <v>35</v>
      </c>
      <c r="B15" s="1" t="s">
        <v>28</v>
      </c>
      <c r="C15" s="1">
        <v>9</v>
      </c>
      <c r="D15" s="1">
        <v>34</v>
      </c>
      <c r="E15" s="4">
        <v>2768.3</v>
      </c>
      <c r="F15" s="4">
        <v>-127.52</v>
      </c>
      <c r="G15" s="4">
        <v>158.45</v>
      </c>
      <c r="H15" s="4">
        <v>254.8</v>
      </c>
      <c r="I15" s="4">
        <v>0</v>
      </c>
      <c r="J15" s="4">
        <v>0</v>
      </c>
      <c r="K15" s="4">
        <v>0.07</v>
      </c>
      <c r="L15" s="4">
        <v>3054.1</v>
      </c>
      <c r="M15" s="4">
        <v>0</v>
      </c>
      <c r="N15" s="4">
        <v>0</v>
      </c>
      <c r="O15" s="4">
        <v>0</v>
      </c>
      <c r="P15" s="4">
        <v>0</v>
      </c>
      <c r="Q15" s="4">
        <v>1837.6</v>
      </c>
      <c r="R15" s="4">
        <v>118.4</v>
      </c>
      <c r="S15" s="4">
        <v>0</v>
      </c>
      <c r="T15" s="4">
        <v>236.9</v>
      </c>
      <c r="U15" s="4">
        <v>861.2</v>
      </c>
      <c r="V15" s="4">
        <v>0</v>
      </c>
    </row>
    <row r="16" spans="1:22">
      <c r="A16" s="1" t="s">
        <v>36</v>
      </c>
      <c r="B16" s="1" t="s">
        <v>28</v>
      </c>
      <c r="C16" s="1">
        <v>8</v>
      </c>
      <c r="D16" s="1">
        <v>14</v>
      </c>
      <c r="E16" s="4">
        <v>2583.1</v>
      </c>
      <c r="F16" s="4">
        <v>-398.94</v>
      </c>
      <c r="G16" s="4">
        <v>131.04</v>
      </c>
      <c r="H16" s="4">
        <v>146.56</v>
      </c>
      <c r="I16" s="4">
        <v>0</v>
      </c>
      <c r="J16" s="4">
        <v>0</v>
      </c>
      <c r="K16" s="4">
        <v>0.04</v>
      </c>
      <c r="L16" s="4">
        <v>2461.8</v>
      </c>
      <c r="M16" s="4">
        <v>0</v>
      </c>
      <c r="N16" s="4">
        <v>0</v>
      </c>
      <c r="O16" s="4">
        <v>0</v>
      </c>
      <c r="P16" s="4">
        <v>0</v>
      </c>
      <c r="Q16" s="4">
        <v>1045.5</v>
      </c>
      <c r="R16" s="4">
        <v>0</v>
      </c>
      <c r="S16" s="4">
        <v>0</v>
      </c>
      <c r="T16" s="4">
        <v>262.9</v>
      </c>
      <c r="U16" s="4">
        <v>1153.4</v>
      </c>
      <c r="V16" s="4">
        <v>0</v>
      </c>
    </row>
    <row r="17" spans="1:22">
      <c r="A17" s="1" t="s">
        <v>37</v>
      </c>
      <c r="B17" s="1" t="s">
        <v>28</v>
      </c>
      <c r="C17" s="1">
        <v>11</v>
      </c>
      <c r="D17" s="1">
        <v>36</v>
      </c>
      <c r="E17" s="4">
        <v>2817.88</v>
      </c>
      <c r="F17" s="4">
        <v>-363.46</v>
      </c>
      <c r="G17" s="4">
        <v>147.67</v>
      </c>
      <c r="H17" s="4">
        <v>242.24</v>
      </c>
      <c r="I17" s="4">
        <v>0</v>
      </c>
      <c r="J17" s="4">
        <v>0</v>
      </c>
      <c r="K17" s="4">
        <v>-0.03</v>
      </c>
      <c r="L17" s="4">
        <v>2844.3</v>
      </c>
      <c r="M17" s="4">
        <v>0</v>
      </c>
      <c r="N17" s="4">
        <v>0</v>
      </c>
      <c r="O17" s="4">
        <v>451</v>
      </c>
      <c r="P17" s="4">
        <v>0</v>
      </c>
      <c r="Q17" s="4">
        <v>1455.8</v>
      </c>
      <c r="R17" s="4">
        <v>33.9</v>
      </c>
      <c r="S17" s="4">
        <v>0</v>
      </c>
      <c r="T17" s="4">
        <v>0</v>
      </c>
      <c r="U17" s="4">
        <v>903.6</v>
      </c>
      <c r="V17" s="4">
        <v>0</v>
      </c>
    </row>
    <row r="18" spans="1:22">
      <c r="A18" s="1" t="s">
        <v>38</v>
      </c>
      <c r="B18" s="1" t="s">
        <v>28</v>
      </c>
      <c r="C18" s="1">
        <v>5</v>
      </c>
      <c r="D18" s="1">
        <v>20</v>
      </c>
      <c r="E18" s="4">
        <v>880</v>
      </c>
      <c r="F18" s="4">
        <v>-50</v>
      </c>
      <c r="G18" s="4">
        <v>49.8</v>
      </c>
      <c r="H18" s="4">
        <v>83</v>
      </c>
      <c r="I18" s="4">
        <v>0</v>
      </c>
      <c r="J18" s="4">
        <v>0</v>
      </c>
      <c r="K18" s="4">
        <v>0</v>
      </c>
      <c r="L18" s="4">
        <v>962.8</v>
      </c>
      <c r="M18" s="4">
        <v>0</v>
      </c>
      <c r="N18" s="4">
        <v>0</v>
      </c>
      <c r="O18" s="4">
        <v>0</v>
      </c>
      <c r="P18" s="4">
        <v>0</v>
      </c>
      <c r="Q18" s="4">
        <v>504</v>
      </c>
      <c r="R18" s="4">
        <v>0</v>
      </c>
      <c r="S18" s="4">
        <v>0</v>
      </c>
      <c r="T18" s="4">
        <v>299.9</v>
      </c>
      <c r="U18" s="4">
        <v>158.9</v>
      </c>
      <c r="V18" s="4">
        <v>0</v>
      </c>
    </row>
    <row r="19" spans="1:22">
      <c r="A19" s="1" t="s">
        <v>39</v>
      </c>
      <c r="B19" s="1" t="s">
        <v>28</v>
      </c>
      <c r="C19" s="1">
        <v>20</v>
      </c>
      <c r="D19" s="1">
        <v>82</v>
      </c>
      <c r="E19" s="4">
        <v>3954.5</v>
      </c>
      <c r="F19" s="4">
        <v>-232.18</v>
      </c>
      <c r="G19" s="4">
        <v>223.35</v>
      </c>
      <c r="H19" s="4">
        <v>372.23</v>
      </c>
      <c r="I19" s="4">
        <v>0</v>
      </c>
      <c r="J19" s="4">
        <v>0</v>
      </c>
      <c r="K19" s="4">
        <v>0.3</v>
      </c>
      <c r="L19" s="4">
        <v>4318.2</v>
      </c>
      <c r="M19" s="7">
        <f>0+248.5</f>
        <v>248.5</v>
      </c>
      <c r="N19" s="4">
        <v>0</v>
      </c>
      <c r="O19" s="4">
        <v>1381.4</v>
      </c>
      <c r="P19" s="4">
        <v>0</v>
      </c>
      <c r="Q19" s="4">
        <v>964.8</v>
      </c>
      <c r="R19" s="4">
        <v>109</v>
      </c>
      <c r="S19" s="4">
        <v>0</v>
      </c>
      <c r="T19" s="7">
        <f>391.2-248.5</f>
        <v>142.7</v>
      </c>
      <c r="U19" s="4">
        <v>1471.8</v>
      </c>
      <c r="V19" s="4">
        <v>0</v>
      </c>
    </row>
    <row r="20" spans="1:22">
      <c r="A20" s="1" t="s">
        <v>40</v>
      </c>
      <c r="B20" s="1" t="s">
        <v>28</v>
      </c>
      <c r="C20" s="1">
        <v>30</v>
      </c>
      <c r="D20" s="1">
        <v>148</v>
      </c>
      <c r="E20" s="4">
        <v>11377.3</v>
      </c>
      <c r="F20" s="4">
        <v>-916.52</v>
      </c>
      <c r="G20" s="4">
        <v>628.99</v>
      </c>
      <c r="H20" s="4">
        <v>1030.28</v>
      </c>
      <c r="I20" s="4">
        <v>0</v>
      </c>
      <c r="J20" s="4">
        <v>0</v>
      </c>
      <c r="K20" s="4">
        <v>-0.05</v>
      </c>
      <c r="L20" s="4">
        <v>12120</v>
      </c>
      <c r="M20" s="8">
        <f>0+436.2</f>
        <v>436.2</v>
      </c>
      <c r="N20" s="4">
        <v>0</v>
      </c>
      <c r="O20" s="4">
        <v>1694.5</v>
      </c>
      <c r="P20" s="8">
        <f>436.2-436.2</f>
        <v>0</v>
      </c>
      <c r="Q20" s="4">
        <v>3812.1</v>
      </c>
      <c r="R20" s="4">
        <v>470.2</v>
      </c>
      <c r="S20" s="4">
        <v>0</v>
      </c>
      <c r="T20" s="4">
        <v>2253.4</v>
      </c>
      <c r="U20" s="4">
        <v>3453.6</v>
      </c>
      <c r="V20" s="4">
        <v>0</v>
      </c>
    </row>
    <row r="21" spans="1:22">
      <c r="A21" s="1" t="s">
        <v>41</v>
      </c>
      <c r="B21" s="1" t="s">
        <v>28</v>
      </c>
      <c r="C21" s="1">
        <v>28</v>
      </c>
      <c r="D21" s="1">
        <v>129</v>
      </c>
      <c r="E21" s="4">
        <v>7564.8</v>
      </c>
      <c r="F21" s="4">
        <v>-502.51</v>
      </c>
      <c r="G21" s="4">
        <v>424.57</v>
      </c>
      <c r="H21" s="4">
        <v>693.68</v>
      </c>
      <c r="I21" s="4">
        <v>0</v>
      </c>
      <c r="J21" s="4">
        <v>0</v>
      </c>
      <c r="K21" s="4">
        <v>0.06</v>
      </c>
      <c r="L21" s="4">
        <v>8180.6</v>
      </c>
      <c r="M21" s="4">
        <v>0</v>
      </c>
      <c r="N21" s="4">
        <v>0</v>
      </c>
      <c r="O21" s="4">
        <v>943.6</v>
      </c>
      <c r="P21" s="4">
        <v>0</v>
      </c>
      <c r="Q21" s="4">
        <v>1968.8</v>
      </c>
      <c r="R21" s="4">
        <v>228.5</v>
      </c>
      <c r="S21" s="4">
        <v>0</v>
      </c>
      <c r="T21" s="4">
        <v>32.9</v>
      </c>
      <c r="U21" s="4">
        <v>5006.8</v>
      </c>
      <c r="V21" s="4">
        <v>0</v>
      </c>
    </row>
    <row r="22" spans="1:22">
      <c r="A22" s="1" t="s">
        <v>42</v>
      </c>
      <c r="B22" s="1" t="s">
        <v>28</v>
      </c>
      <c r="C22" s="1">
        <v>13</v>
      </c>
      <c r="D22" s="1">
        <v>44</v>
      </c>
      <c r="E22" s="4">
        <v>4649.6</v>
      </c>
      <c r="F22" s="4">
        <v>-695.32</v>
      </c>
      <c r="G22" s="4">
        <v>237.26</v>
      </c>
      <c r="H22" s="4">
        <v>383.28</v>
      </c>
      <c r="I22" s="4">
        <v>0</v>
      </c>
      <c r="J22" s="4">
        <v>0</v>
      </c>
      <c r="K22" s="4">
        <v>-0.02</v>
      </c>
      <c r="L22" s="4">
        <v>4574.8</v>
      </c>
      <c r="M22" s="4">
        <v>0</v>
      </c>
      <c r="N22" s="4">
        <v>0</v>
      </c>
      <c r="O22" s="4">
        <v>0</v>
      </c>
      <c r="P22" s="4">
        <v>0</v>
      </c>
      <c r="Q22" s="4">
        <v>453.8</v>
      </c>
      <c r="R22" s="4">
        <v>128.7</v>
      </c>
      <c r="S22" s="4">
        <v>0</v>
      </c>
      <c r="T22" s="4">
        <v>304.9</v>
      </c>
      <c r="U22" s="4">
        <v>3687.4</v>
      </c>
      <c r="V22" s="4">
        <v>0</v>
      </c>
    </row>
    <row r="23" spans="1:22">
      <c r="A23" s="1" t="s">
        <v>43</v>
      </c>
      <c r="B23" s="1" t="s">
        <v>28</v>
      </c>
      <c r="C23" s="1">
        <v>8</v>
      </c>
      <c r="D23" s="1">
        <v>22</v>
      </c>
      <c r="E23" s="4">
        <v>2123.4</v>
      </c>
      <c r="F23" s="4">
        <v>-362.4</v>
      </c>
      <c r="G23" s="4">
        <v>105.67</v>
      </c>
      <c r="H23" s="4">
        <v>164.02</v>
      </c>
      <c r="I23" s="4">
        <v>0</v>
      </c>
      <c r="J23" s="4">
        <v>0</v>
      </c>
      <c r="K23" s="4">
        <v>0.11</v>
      </c>
      <c r="L23" s="4">
        <v>2030.8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1164.2</v>
      </c>
      <c r="S23" s="4">
        <v>0</v>
      </c>
      <c r="T23" s="4">
        <v>0</v>
      </c>
      <c r="U23" s="4">
        <v>866.6</v>
      </c>
      <c r="V23" s="4">
        <v>0</v>
      </c>
    </row>
    <row r="24" spans="1:22">
      <c r="A24" s="1" t="s">
        <v>44</v>
      </c>
      <c r="B24" s="1" t="s">
        <v>28</v>
      </c>
      <c r="C24" s="1">
        <v>11</v>
      </c>
      <c r="D24" s="1">
        <v>42</v>
      </c>
      <c r="E24" s="4">
        <v>3524.1</v>
      </c>
      <c r="F24" s="4">
        <v>-248.08</v>
      </c>
      <c r="G24" s="4">
        <v>197.05</v>
      </c>
      <c r="H24" s="4">
        <v>322.8</v>
      </c>
      <c r="I24" s="4">
        <v>0</v>
      </c>
      <c r="J24" s="4">
        <v>0</v>
      </c>
      <c r="K24" s="4">
        <v>0.13</v>
      </c>
      <c r="L24" s="4">
        <v>3796</v>
      </c>
      <c r="M24" s="4">
        <v>0</v>
      </c>
      <c r="N24" s="4">
        <v>0</v>
      </c>
      <c r="O24" s="4">
        <v>657</v>
      </c>
      <c r="P24" s="4">
        <v>0</v>
      </c>
      <c r="Q24" s="4">
        <v>649.8</v>
      </c>
      <c r="R24" s="4">
        <v>689.8</v>
      </c>
      <c r="S24" s="4">
        <v>0</v>
      </c>
      <c r="T24" s="4">
        <v>1106.4</v>
      </c>
      <c r="U24" s="4">
        <v>693</v>
      </c>
      <c r="V24" s="4">
        <v>0</v>
      </c>
    </row>
    <row r="25" spans="1:22">
      <c r="A25" s="1" t="s">
        <v>45</v>
      </c>
      <c r="B25" s="1" t="s">
        <v>28</v>
      </c>
      <c r="C25" s="1">
        <v>17</v>
      </c>
      <c r="D25" s="1">
        <v>52</v>
      </c>
      <c r="E25" s="4">
        <v>5287.7</v>
      </c>
      <c r="F25" s="4">
        <v>-529.66</v>
      </c>
      <c r="G25" s="4">
        <v>289.91</v>
      </c>
      <c r="H25" s="4">
        <v>368.79</v>
      </c>
      <c r="I25" s="4">
        <v>0</v>
      </c>
      <c r="J25" s="4">
        <v>0</v>
      </c>
      <c r="K25" s="4">
        <v>-0.04</v>
      </c>
      <c r="L25" s="4">
        <v>5416.7</v>
      </c>
      <c r="M25" s="4">
        <v>0</v>
      </c>
      <c r="N25" s="4">
        <v>0</v>
      </c>
      <c r="O25" s="4">
        <v>221.1</v>
      </c>
      <c r="P25" s="4">
        <v>0</v>
      </c>
      <c r="Q25" s="4">
        <v>1419.2</v>
      </c>
      <c r="R25" s="4">
        <v>651.8</v>
      </c>
      <c r="S25" s="4">
        <v>333.9</v>
      </c>
      <c r="T25" s="4">
        <v>596.2</v>
      </c>
      <c r="U25" s="4">
        <v>2194.5</v>
      </c>
      <c r="V25" s="4">
        <v>0</v>
      </c>
    </row>
    <row r="26" spans="1:22">
      <c r="A26" s="1" t="s">
        <v>46</v>
      </c>
      <c r="B26" s="1" t="s">
        <v>28</v>
      </c>
      <c r="C26" s="1">
        <v>13</v>
      </c>
      <c r="D26" s="1">
        <v>50</v>
      </c>
      <c r="E26" s="4">
        <v>5264.1</v>
      </c>
      <c r="F26" s="4">
        <v>-755.44</v>
      </c>
      <c r="G26" s="4">
        <v>270.85</v>
      </c>
      <c r="H26" s="4">
        <v>450.86</v>
      </c>
      <c r="I26" s="4">
        <v>0</v>
      </c>
      <c r="J26" s="4">
        <v>0</v>
      </c>
      <c r="K26" s="4">
        <v>0.03</v>
      </c>
      <c r="L26" s="4">
        <v>5230.4</v>
      </c>
      <c r="M26" s="4">
        <v>0</v>
      </c>
      <c r="N26" s="4">
        <v>0</v>
      </c>
      <c r="O26" s="4">
        <v>468.6</v>
      </c>
      <c r="P26" s="4">
        <v>0</v>
      </c>
      <c r="Q26" s="4">
        <v>1964.3</v>
      </c>
      <c r="R26" s="4">
        <v>907.3</v>
      </c>
      <c r="S26" s="4">
        <v>0</v>
      </c>
      <c r="T26" s="4">
        <v>189</v>
      </c>
      <c r="U26" s="4">
        <v>1701.2</v>
      </c>
      <c r="V26" s="4">
        <v>0</v>
      </c>
    </row>
    <row r="27" spans="1:22">
      <c r="A27" s="1" t="s">
        <v>47</v>
      </c>
      <c r="B27" s="1" t="s">
        <v>28</v>
      </c>
      <c r="C27" s="1">
        <v>40</v>
      </c>
      <c r="D27" s="1">
        <v>148</v>
      </c>
      <c r="E27" s="4">
        <v>12823.4</v>
      </c>
      <c r="F27" s="4">
        <v>-1714.28</v>
      </c>
      <c r="G27" s="4">
        <v>667.03</v>
      </c>
      <c r="H27" s="4">
        <v>1016.59</v>
      </c>
      <c r="I27" s="4">
        <v>0</v>
      </c>
      <c r="J27" s="4">
        <v>0</v>
      </c>
      <c r="K27" s="4">
        <v>0.06</v>
      </c>
      <c r="L27" s="4">
        <v>12792.8</v>
      </c>
      <c r="M27" s="4">
        <v>0</v>
      </c>
      <c r="N27" s="4">
        <v>0</v>
      </c>
      <c r="O27" s="4">
        <v>335.2</v>
      </c>
      <c r="P27" s="4">
        <v>0</v>
      </c>
      <c r="Q27" s="4">
        <v>3225.7</v>
      </c>
      <c r="R27" s="4">
        <v>2241.2</v>
      </c>
      <c r="S27" s="4">
        <v>0</v>
      </c>
      <c r="T27" s="4">
        <v>1490.4</v>
      </c>
      <c r="U27" s="4">
        <v>5500.3</v>
      </c>
      <c r="V27" s="4">
        <v>0</v>
      </c>
    </row>
    <row r="28" spans="1:22">
      <c r="A28" s="1" t="s">
        <v>48</v>
      </c>
      <c r="B28" s="1" t="s">
        <v>28</v>
      </c>
      <c r="C28" s="1">
        <v>54</v>
      </c>
      <c r="D28" s="1">
        <v>158</v>
      </c>
      <c r="E28" s="4">
        <v>13046.8</v>
      </c>
      <c r="F28" s="4">
        <v>-1627.86</v>
      </c>
      <c r="G28" s="4">
        <v>686.62</v>
      </c>
      <c r="H28" s="4">
        <v>1066.21</v>
      </c>
      <c r="I28" s="4">
        <v>0</v>
      </c>
      <c r="J28" s="4">
        <v>0</v>
      </c>
      <c r="K28" s="4">
        <v>-0.07</v>
      </c>
      <c r="L28" s="4">
        <v>13171.7</v>
      </c>
      <c r="M28" s="4">
        <v>0</v>
      </c>
      <c r="N28" s="4">
        <v>547.5</v>
      </c>
      <c r="O28" s="4">
        <v>771.4</v>
      </c>
      <c r="P28" s="4">
        <v>0</v>
      </c>
      <c r="Q28" s="4">
        <v>2943.3</v>
      </c>
      <c r="R28" s="4">
        <v>3297.6</v>
      </c>
      <c r="S28" s="4">
        <v>0</v>
      </c>
      <c r="T28" s="4">
        <v>0</v>
      </c>
      <c r="U28" s="4">
        <v>5611.9</v>
      </c>
      <c r="V28" s="4">
        <v>0</v>
      </c>
    </row>
    <row r="29" spans="1:22">
      <c r="A29" s="1" t="s">
        <v>49</v>
      </c>
      <c r="B29" s="1" t="s">
        <v>28</v>
      </c>
      <c r="C29" s="1">
        <v>19</v>
      </c>
      <c r="D29" s="1">
        <v>53</v>
      </c>
      <c r="E29" s="4">
        <v>4067.6</v>
      </c>
      <c r="F29" s="4">
        <v>-159.92</v>
      </c>
      <c r="G29" s="4">
        <v>234.89</v>
      </c>
      <c r="H29" s="4">
        <v>390.77</v>
      </c>
      <c r="I29" s="4">
        <v>0</v>
      </c>
      <c r="J29" s="4">
        <v>0</v>
      </c>
      <c r="K29" s="4">
        <v>0.06</v>
      </c>
      <c r="L29" s="4">
        <v>4533.4</v>
      </c>
      <c r="M29" s="4">
        <v>0</v>
      </c>
      <c r="N29" s="4">
        <v>0</v>
      </c>
      <c r="O29" s="4">
        <v>996.1</v>
      </c>
      <c r="P29" s="4">
        <v>0</v>
      </c>
      <c r="Q29" s="4">
        <v>525.4</v>
      </c>
      <c r="R29" s="4">
        <v>1039.7</v>
      </c>
      <c r="S29" s="4">
        <v>0</v>
      </c>
      <c r="T29" s="4">
        <v>806.4</v>
      </c>
      <c r="U29" s="4">
        <v>1165.8</v>
      </c>
      <c r="V29" s="4">
        <v>0</v>
      </c>
    </row>
    <row r="30" spans="1:22">
      <c r="A30" s="1" t="s">
        <v>50</v>
      </c>
      <c r="B30" s="1" t="s">
        <v>28</v>
      </c>
      <c r="C30" s="1">
        <v>23</v>
      </c>
      <c r="D30" s="1">
        <v>78</v>
      </c>
      <c r="E30" s="4">
        <v>6404.7</v>
      </c>
      <c r="F30" s="4">
        <v>-687.16</v>
      </c>
      <c r="G30" s="4">
        <v>343.93</v>
      </c>
      <c r="H30" s="4">
        <v>557.6</v>
      </c>
      <c r="I30" s="4">
        <v>0</v>
      </c>
      <c r="J30" s="4">
        <v>0</v>
      </c>
      <c r="K30" s="4">
        <v>0.23</v>
      </c>
      <c r="L30" s="4">
        <v>6619.3</v>
      </c>
      <c r="M30" s="4">
        <v>0</v>
      </c>
      <c r="N30" s="4">
        <v>0</v>
      </c>
      <c r="O30" s="4">
        <v>800.3</v>
      </c>
      <c r="P30" s="4">
        <v>0</v>
      </c>
      <c r="Q30" s="4">
        <v>1917.7</v>
      </c>
      <c r="R30" s="4">
        <v>1542.6</v>
      </c>
      <c r="S30" s="4">
        <v>0</v>
      </c>
      <c r="T30" s="4">
        <v>574</v>
      </c>
      <c r="U30" s="4">
        <v>1784.7</v>
      </c>
      <c r="V30" s="4">
        <v>0</v>
      </c>
    </row>
    <row r="31" spans="1:22">
      <c r="A31" s="1" t="s">
        <v>51</v>
      </c>
      <c r="B31" s="1" t="s">
        <v>28</v>
      </c>
      <c r="C31" s="1">
        <v>27</v>
      </c>
      <c r="D31" s="1">
        <v>83</v>
      </c>
      <c r="E31" s="4">
        <v>6081.4</v>
      </c>
      <c r="F31" s="4">
        <v>-629.16</v>
      </c>
      <c r="G31" s="4">
        <v>329.49</v>
      </c>
      <c r="H31" s="4">
        <v>529.08</v>
      </c>
      <c r="I31" s="4">
        <v>0</v>
      </c>
      <c r="J31" s="4">
        <v>0</v>
      </c>
      <c r="K31" s="4">
        <v>-0.01</v>
      </c>
      <c r="L31" s="4">
        <v>6310.8</v>
      </c>
      <c r="M31" s="4">
        <v>0</v>
      </c>
      <c r="N31" s="4">
        <v>0</v>
      </c>
      <c r="O31" s="4">
        <v>992.5</v>
      </c>
      <c r="P31" s="4">
        <v>0</v>
      </c>
      <c r="Q31" s="4">
        <v>2590.4</v>
      </c>
      <c r="R31" s="4">
        <v>624.1</v>
      </c>
      <c r="S31" s="4">
        <v>0</v>
      </c>
      <c r="T31" s="4">
        <v>363.2</v>
      </c>
      <c r="U31" s="4">
        <v>1740.6</v>
      </c>
      <c r="V31" s="4">
        <v>0</v>
      </c>
    </row>
    <row r="32" spans="1:22">
      <c r="A32" s="1" t="s">
        <v>52</v>
      </c>
      <c r="B32" s="1" t="s">
        <v>28</v>
      </c>
      <c r="C32" s="1">
        <v>20</v>
      </c>
      <c r="D32" s="1">
        <v>51</v>
      </c>
      <c r="E32" s="4">
        <v>4648.7</v>
      </c>
      <c r="F32" s="4">
        <v>-515.88</v>
      </c>
      <c r="G32" s="4">
        <v>248.48</v>
      </c>
      <c r="H32" s="4">
        <v>407.52</v>
      </c>
      <c r="I32" s="4">
        <v>0</v>
      </c>
      <c r="J32" s="4">
        <v>0</v>
      </c>
      <c r="K32" s="4">
        <v>0.08</v>
      </c>
      <c r="L32" s="4">
        <v>4788.9</v>
      </c>
      <c r="M32" s="9">
        <f>297.4-297.4</f>
        <v>0</v>
      </c>
      <c r="N32" s="4">
        <v>61.1</v>
      </c>
      <c r="O32" s="4">
        <v>463.4</v>
      </c>
      <c r="P32" s="4">
        <v>0</v>
      </c>
      <c r="Q32" s="4">
        <v>1805.5</v>
      </c>
      <c r="R32" s="4">
        <v>838.2</v>
      </c>
      <c r="S32" s="4">
        <v>0</v>
      </c>
      <c r="T32" s="9">
        <f>0+297.4</f>
        <v>297.4</v>
      </c>
      <c r="U32" s="4">
        <v>1323.3</v>
      </c>
      <c r="V32" s="4">
        <v>0</v>
      </c>
    </row>
    <row r="33" spans="1:22">
      <c r="A33" s="1" t="s">
        <v>53</v>
      </c>
      <c r="B33" s="1" t="s">
        <v>28</v>
      </c>
      <c r="C33" s="1">
        <v>9</v>
      </c>
      <c r="D33" s="1">
        <v>21</v>
      </c>
      <c r="E33" s="4">
        <v>1249.9</v>
      </c>
      <c r="F33" s="4">
        <v>-63.62</v>
      </c>
      <c r="G33" s="4">
        <v>71.18</v>
      </c>
      <c r="H33" s="4">
        <v>105.63</v>
      </c>
      <c r="I33" s="4">
        <v>0</v>
      </c>
      <c r="J33" s="4">
        <v>0</v>
      </c>
      <c r="K33" s="4">
        <v>0.11</v>
      </c>
      <c r="L33" s="4">
        <v>1363.2</v>
      </c>
      <c r="M33" s="4">
        <v>0</v>
      </c>
      <c r="N33" s="4">
        <v>242.2</v>
      </c>
      <c r="O33" s="4">
        <v>13.7</v>
      </c>
      <c r="P33" s="4">
        <v>0</v>
      </c>
      <c r="Q33" s="4">
        <v>175.9</v>
      </c>
      <c r="R33" s="4">
        <v>384.7</v>
      </c>
      <c r="S33" s="4">
        <v>0</v>
      </c>
      <c r="T33" s="4">
        <v>137.8</v>
      </c>
      <c r="U33" s="4">
        <v>408.9</v>
      </c>
      <c r="V33" s="4">
        <v>0</v>
      </c>
    </row>
    <row r="34" spans="1:22">
      <c r="A34" s="1" t="s">
        <v>54</v>
      </c>
      <c r="B34" s="1" t="s">
        <v>28</v>
      </c>
      <c r="C34" s="1">
        <v>49</v>
      </c>
      <c r="D34" s="1">
        <v>202</v>
      </c>
      <c r="E34" s="4">
        <v>17325.4</v>
      </c>
      <c r="F34" s="4">
        <v>-1905.72</v>
      </c>
      <c r="G34" s="4">
        <v>927.75</v>
      </c>
      <c r="H34" s="4">
        <v>1322.49</v>
      </c>
      <c r="I34" s="4">
        <v>0</v>
      </c>
      <c r="J34" s="4">
        <v>0</v>
      </c>
      <c r="K34" s="4">
        <v>0.58</v>
      </c>
      <c r="L34" s="4">
        <v>17670.5</v>
      </c>
      <c r="M34" s="4">
        <v>0</v>
      </c>
      <c r="N34" s="4">
        <v>0</v>
      </c>
      <c r="O34" s="4">
        <v>475.6</v>
      </c>
      <c r="P34" s="4">
        <v>0</v>
      </c>
      <c r="Q34" s="4">
        <v>3556.5</v>
      </c>
      <c r="R34" s="4">
        <v>1608</v>
      </c>
      <c r="S34" s="4">
        <v>0</v>
      </c>
      <c r="T34" s="4">
        <v>2564.2</v>
      </c>
      <c r="U34" s="4">
        <v>7466.2</v>
      </c>
      <c r="V34" s="4">
        <v>2000</v>
      </c>
    </row>
    <row r="35" spans="1:22">
      <c r="A35" s="1" t="s">
        <v>55</v>
      </c>
      <c r="B35" s="1" t="s">
        <v>28</v>
      </c>
      <c r="C35" s="1">
        <v>45</v>
      </c>
      <c r="D35" s="1">
        <v>209</v>
      </c>
      <c r="E35" s="4">
        <v>15859.8</v>
      </c>
      <c r="F35" s="4">
        <v>-2018.74</v>
      </c>
      <c r="G35" s="4">
        <v>831.74</v>
      </c>
      <c r="H35" s="4">
        <v>1292.56</v>
      </c>
      <c r="I35" s="4">
        <v>0</v>
      </c>
      <c r="J35" s="4">
        <v>0</v>
      </c>
      <c r="K35" s="4">
        <v>0.34</v>
      </c>
      <c r="L35" s="4">
        <v>15965.7</v>
      </c>
      <c r="M35" s="4">
        <v>0</v>
      </c>
      <c r="N35" s="4">
        <v>0</v>
      </c>
      <c r="O35" s="4">
        <v>891.8</v>
      </c>
      <c r="P35" s="4">
        <v>0</v>
      </c>
      <c r="Q35" s="4">
        <v>2429</v>
      </c>
      <c r="R35" s="4">
        <v>2564</v>
      </c>
      <c r="S35" s="4">
        <v>0</v>
      </c>
      <c r="T35" s="4">
        <v>3125.4</v>
      </c>
      <c r="U35" s="4">
        <v>6955.5</v>
      </c>
      <c r="V35" s="4">
        <v>0</v>
      </c>
    </row>
    <row r="36" spans="1:22">
      <c r="A36" s="1" t="s">
        <v>56</v>
      </c>
      <c r="B36" s="1" t="s">
        <v>28</v>
      </c>
      <c r="C36" s="1">
        <v>31</v>
      </c>
      <c r="D36" s="1">
        <v>103</v>
      </c>
      <c r="E36" s="4">
        <v>9189.1</v>
      </c>
      <c r="F36" s="4">
        <v>-777.98</v>
      </c>
      <c r="G36" s="4">
        <v>505.08</v>
      </c>
      <c r="H36" s="4">
        <v>816.14</v>
      </c>
      <c r="I36" s="4">
        <v>0</v>
      </c>
      <c r="J36" s="4">
        <v>0</v>
      </c>
      <c r="K36" s="4">
        <v>0.46</v>
      </c>
      <c r="L36" s="4">
        <v>9732.8</v>
      </c>
      <c r="M36" s="4">
        <v>0</v>
      </c>
      <c r="N36" s="4">
        <v>0</v>
      </c>
      <c r="O36" s="4">
        <v>102.1</v>
      </c>
      <c r="P36" s="4">
        <v>0</v>
      </c>
      <c r="Q36" s="4">
        <v>3360.3</v>
      </c>
      <c r="R36" s="4">
        <v>2725.6</v>
      </c>
      <c r="S36" s="4">
        <v>0</v>
      </c>
      <c r="T36" s="4">
        <v>723</v>
      </c>
      <c r="U36" s="4">
        <v>2821.8</v>
      </c>
      <c r="V36" s="4">
        <v>0</v>
      </c>
    </row>
    <row r="37" spans="1:22">
      <c r="A37" s="1" t="s">
        <v>57</v>
      </c>
      <c r="B37" s="1" t="s">
        <v>28</v>
      </c>
      <c r="C37" s="1">
        <v>28</v>
      </c>
      <c r="D37" s="1">
        <v>61</v>
      </c>
      <c r="E37" s="4">
        <v>6017</v>
      </c>
      <c r="F37" s="4">
        <v>-147.8</v>
      </c>
      <c r="G37" s="4">
        <v>354.45</v>
      </c>
      <c r="H37" s="4">
        <v>512.75</v>
      </c>
      <c r="I37" s="4">
        <v>0</v>
      </c>
      <c r="J37" s="4">
        <v>0</v>
      </c>
      <c r="K37" s="4">
        <v>0.1</v>
      </c>
      <c r="L37" s="4">
        <v>6736.5</v>
      </c>
      <c r="M37" s="4">
        <v>0</v>
      </c>
      <c r="N37" s="4">
        <v>167</v>
      </c>
      <c r="O37" s="4">
        <v>1079.4</v>
      </c>
      <c r="P37" s="4">
        <v>0</v>
      </c>
      <c r="Q37" s="4">
        <v>670.6</v>
      </c>
      <c r="R37" s="24">
        <v>515.8</v>
      </c>
      <c r="S37" s="4">
        <v>0</v>
      </c>
      <c r="T37" s="4">
        <v>1207.7</v>
      </c>
      <c r="U37" s="4">
        <v>3096</v>
      </c>
      <c r="V37" s="4">
        <v>0</v>
      </c>
    </row>
    <row r="38" spans="1:23">
      <c r="A38" s="3" t="s">
        <v>58</v>
      </c>
      <c r="B38" s="3" t="s">
        <v>58</v>
      </c>
      <c r="C38" s="3">
        <v>645</v>
      </c>
      <c r="D38" s="3">
        <v>2292</v>
      </c>
      <c r="E38" s="5">
        <f t="shared" ref="E38:V38" si="0">SUM(E8:E37)</f>
        <v>189613.74</v>
      </c>
      <c r="F38" s="5">
        <f t="shared" si="0"/>
        <v>-19791.12</v>
      </c>
      <c r="G38" s="5">
        <f t="shared" si="0"/>
        <v>10216.61</v>
      </c>
      <c r="H38" s="5">
        <f t="shared" si="0"/>
        <v>15937.71</v>
      </c>
      <c r="I38" s="5">
        <f t="shared" si="0"/>
        <v>0</v>
      </c>
      <c r="J38" s="5">
        <f t="shared" si="0"/>
        <v>0</v>
      </c>
      <c r="K38" s="5">
        <f t="shared" si="0"/>
        <v>3.56</v>
      </c>
      <c r="L38" s="6">
        <f t="shared" si="0"/>
        <v>195980.5</v>
      </c>
      <c r="M38" s="5">
        <f t="shared" si="0"/>
        <v>684.7</v>
      </c>
      <c r="N38" s="5">
        <f t="shared" si="0"/>
        <v>1017.8</v>
      </c>
      <c r="O38" s="5">
        <f t="shared" si="0"/>
        <v>16359.8</v>
      </c>
      <c r="P38" s="5">
        <f t="shared" si="0"/>
        <v>0</v>
      </c>
      <c r="Q38" s="5">
        <f t="shared" si="0"/>
        <v>49025.8</v>
      </c>
      <c r="R38" s="5">
        <f t="shared" si="0"/>
        <v>23796.8</v>
      </c>
      <c r="S38" s="5">
        <f t="shared" si="0"/>
        <v>333.9</v>
      </c>
      <c r="T38" s="5">
        <f t="shared" si="0"/>
        <v>21910.5</v>
      </c>
      <c r="U38" s="5">
        <f t="shared" si="0"/>
        <v>80851.2</v>
      </c>
      <c r="V38" s="5">
        <f t="shared" si="0"/>
        <v>2000</v>
      </c>
      <c r="W38" s="30">
        <f>SUM(M38:V38)</f>
        <v>195980.5</v>
      </c>
    </row>
    <row r="39" ht="68" spans="15:16">
      <c r="O39" s="10" t="s">
        <v>59</v>
      </c>
      <c r="P39" s="11">
        <v>0</v>
      </c>
    </row>
    <row r="40" ht="68" spans="15:16">
      <c r="O40" s="10" t="s">
        <v>60</v>
      </c>
      <c r="P40" s="11">
        <v>0</v>
      </c>
    </row>
    <row r="41" ht="68" spans="15:16">
      <c r="O41" s="12" t="s">
        <v>61</v>
      </c>
      <c r="P41" s="13">
        <v>0</v>
      </c>
    </row>
    <row r="43" spans="13:20">
      <c r="M43" s="11"/>
      <c r="N43" s="14"/>
      <c r="O43" s="14"/>
      <c r="P43" s="14"/>
      <c r="Q43" s="14"/>
      <c r="R43" s="14"/>
      <c r="S43" s="25">
        <v>153158</v>
      </c>
      <c r="T43" s="26"/>
    </row>
    <row r="44" spans="13:20">
      <c r="M44" s="11" t="s">
        <v>62</v>
      </c>
      <c r="N44" s="11" t="s">
        <v>63</v>
      </c>
      <c r="O44" s="11" t="s">
        <v>64</v>
      </c>
      <c r="P44" s="11" t="s">
        <v>65</v>
      </c>
      <c r="Q44" s="11" t="s">
        <v>66</v>
      </c>
      <c r="R44" s="11" t="s">
        <v>67</v>
      </c>
      <c r="S44" s="11" t="s">
        <v>68</v>
      </c>
      <c r="T44" s="27">
        <f>Q38+R38+U38</f>
        <v>153673.8</v>
      </c>
    </row>
    <row r="45" spans="13:20">
      <c r="M45" s="15"/>
      <c r="N45" s="15"/>
      <c r="O45" s="15"/>
      <c r="P45" s="15"/>
      <c r="Q45" s="15"/>
      <c r="R45" s="15"/>
      <c r="S45" s="15"/>
      <c r="T45" s="28"/>
    </row>
    <row r="46" ht="20.4" spans="13:20">
      <c r="M46" s="16" t="s">
        <v>18</v>
      </c>
      <c r="N46" s="16"/>
      <c r="O46" s="16"/>
      <c r="P46" s="16"/>
      <c r="Q46" s="28"/>
      <c r="R46" s="29"/>
      <c r="S46" s="29"/>
      <c r="T46" s="29"/>
    </row>
    <row r="47" ht="41" spans="13:20">
      <c r="M47" s="10" t="s">
        <v>69</v>
      </c>
      <c r="N47" s="17" t="s">
        <v>70</v>
      </c>
      <c r="O47" s="10" t="s">
        <v>71</v>
      </c>
      <c r="P47" s="11" t="s">
        <v>72</v>
      </c>
      <c r="Q47" s="28"/>
      <c r="R47" s="29"/>
      <c r="S47" s="29"/>
      <c r="T47" s="29"/>
    </row>
    <row r="48" spans="13:20">
      <c r="M48" s="18" t="s">
        <v>73</v>
      </c>
      <c r="N48" s="19">
        <v>547.5</v>
      </c>
      <c r="O48" s="19">
        <v>536.32</v>
      </c>
      <c r="P48" s="20">
        <f>N48-O48</f>
        <v>11.1799999999999</v>
      </c>
      <c r="Q48" s="28"/>
      <c r="R48" s="29"/>
      <c r="S48" s="29"/>
      <c r="T48" s="29"/>
    </row>
    <row r="49" spans="13:20">
      <c r="M49" s="18" t="s">
        <v>74</v>
      </c>
      <c r="N49" s="21">
        <v>61.1</v>
      </c>
      <c r="O49" s="19">
        <v>60.31</v>
      </c>
      <c r="P49" s="20">
        <f>N49-O49</f>
        <v>0.789999999999999</v>
      </c>
      <c r="Q49" s="28"/>
      <c r="R49" s="29"/>
      <c r="S49" s="29"/>
      <c r="T49" s="29"/>
    </row>
    <row r="50" spans="13:20">
      <c r="M50" s="18" t="s">
        <v>75</v>
      </c>
      <c r="N50" s="19">
        <v>242.2</v>
      </c>
      <c r="O50" s="19">
        <v>239.05</v>
      </c>
      <c r="P50" s="20">
        <f t="shared" ref="P50:P55" si="1">N50-O50</f>
        <v>3.14999999999998</v>
      </c>
      <c r="Q50" s="28"/>
      <c r="R50" s="29"/>
      <c r="S50" s="29"/>
      <c r="T50" s="29"/>
    </row>
    <row r="51" spans="13:20">
      <c r="M51" s="18"/>
      <c r="N51" s="19"/>
      <c r="O51" s="19"/>
      <c r="P51" s="20">
        <f t="shared" si="1"/>
        <v>0</v>
      </c>
      <c r="Q51" s="28"/>
      <c r="R51" s="29"/>
      <c r="S51" s="29"/>
      <c r="T51" s="29"/>
    </row>
    <row r="52" spans="13:20">
      <c r="M52" s="19"/>
      <c r="N52" s="19"/>
      <c r="O52" s="19"/>
      <c r="P52" s="20">
        <f t="shared" si="1"/>
        <v>0</v>
      </c>
      <c r="Q52" s="28"/>
      <c r="R52" s="29"/>
      <c r="S52" s="29"/>
      <c r="T52" s="29"/>
    </row>
    <row r="53" spans="13:20">
      <c r="M53" s="19"/>
      <c r="N53" s="19"/>
      <c r="O53" s="19"/>
      <c r="P53" s="20">
        <f t="shared" si="1"/>
        <v>0</v>
      </c>
      <c r="Q53" s="28"/>
      <c r="R53" s="29"/>
      <c r="S53" s="29"/>
      <c r="T53" s="29"/>
    </row>
    <row r="54" spans="13:20">
      <c r="M54" s="19"/>
      <c r="N54" s="19"/>
      <c r="O54" s="19"/>
      <c r="P54" s="20">
        <f t="shared" si="1"/>
        <v>0</v>
      </c>
      <c r="Q54" s="28"/>
      <c r="R54" s="29"/>
      <c r="S54" s="29"/>
      <c r="T54" s="29"/>
    </row>
    <row r="55" spans="13:20">
      <c r="M55" s="19"/>
      <c r="N55" s="19"/>
      <c r="O55" s="19"/>
      <c r="P55" s="20">
        <f t="shared" si="1"/>
        <v>0</v>
      </c>
      <c r="Q55" s="28"/>
      <c r="R55" s="29"/>
      <c r="S55" s="29"/>
      <c r="T55" s="29"/>
    </row>
    <row r="56" spans="13:20">
      <c r="M56" s="22" t="s">
        <v>68</v>
      </c>
      <c r="N56" s="23">
        <f>SUM(N48:N55)</f>
        <v>850.8</v>
      </c>
      <c r="O56" s="23">
        <f>SUM(O48:O55)</f>
        <v>835.68</v>
      </c>
      <c r="P56" s="23">
        <f>SUM(P48:P55)</f>
        <v>15.1199999999999</v>
      </c>
      <c r="Q56" s="28"/>
      <c r="R56" s="29"/>
      <c r="S56" s="29"/>
      <c r="T56" s="29"/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jarvischu</cp:lastModifiedBy>
  <dcterms:created xsi:type="dcterms:W3CDTF">2025-10-01T12:28:00Z</dcterms:created>
  <dcterms:modified xsi:type="dcterms:W3CDTF">2026-02-10T18:14:38Z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A22701A167117D5C0E058B6993EED4BB_42</vt:lpwstr>
  </property>
</Properties>
</file>