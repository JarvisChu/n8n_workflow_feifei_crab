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60"/>
  </bookViews>
  <sheets>
    <sheet name="1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R43" authorId="0">
      <text>
        <r>
          <rPr>
            <sz val="9"/>
            <rFont val="Tahoma"/>
            <charset val="134"/>
          </rPr>
          <t>差一个30/9的mydebit RM517.5
1/10会进到我们acc，bank charge算在10月份</t>
        </r>
      </text>
    </comment>
  </commentList>
</comments>
</file>

<file path=xl/sharedStrings.xml><?xml version="1.0" encoding="utf-8"?>
<sst xmlns="http://schemas.openxmlformats.org/spreadsheetml/2006/main" count="106" uniqueCount="74">
  <si>
    <t>Daily Sales</t>
  </si>
  <si>
    <t>Date: 01/09/2025 - 30/09/2025</t>
  </si>
  <si>
    <t>Time: 00:00 - 23:59</t>
  </si>
  <si>
    <t>Merchant: 肥肥蟹海鲜饭店 Mount Austin Fei Fei Crab Restaurant JB</t>
  </si>
  <si>
    <t>Generated by: 01 Oct 2025, 12:27 PM (UTC+08:00)</t>
  </si>
  <si>
    <t>Time</t>
  </si>
  <si>
    <t>Name</t>
  </si>
  <si>
    <t>Qty</t>
  </si>
  <si>
    <t>Pax</t>
  </si>
  <si>
    <t>Gross</t>
  </si>
  <si>
    <t>Discount</t>
  </si>
  <si>
    <t>SST</t>
  </si>
  <si>
    <t>SC</t>
  </si>
  <si>
    <t>Other Charge</t>
  </si>
  <si>
    <t>Delivery fee</t>
  </si>
  <si>
    <t>Rounding</t>
  </si>
  <si>
    <t>Nett</t>
  </si>
  <si>
    <t>AMEX</t>
  </si>
  <si>
    <t>CASH</t>
  </si>
  <si>
    <t>Grab dine out deals</t>
  </si>
  <si>
    <t>GRAB PAY</t>
  </si>
  <si>
    <t>MASTER</t>
  </si>
  <si>
    <t>MY DEBIT</t>
  </si>
  <si>
    <t>ONLINE BANKING</t>
  </si>
  <si>
    <t>TOUCH N GO</t>
  </si>
  <si>
    <t>VISA</t>
  </si>
  <si>
    <t>01/09/2025</t>
  </si>
  <si>
    <t>肥肥蟹海鲜饭店 Mount Austin Fei Fei Crab Restaurant JB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</si>
  <si>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</si>
  <si>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</si>
  <si>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</si>
  <si>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</si>
  <si>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</si>
  <si>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</si>
  <si>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</si>
  <si>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</si>
  <si>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</si>
  <si>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</si>
  <si>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</si>
  <si>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</si>
  <si>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</si>
  <si>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</si>
  <si>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</si>
  <si>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</si>
  <si>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</si>
  <si>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</si>
  <si>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</si>
  <si>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</si>
  <si>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</si>
  <si>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</si>
  <si>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</si>
  <si>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</si>
  <si>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</si>
  <si>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</si>
  <si>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</si>
  <si>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</si>
  <si>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</si>
  <si>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/>
  </si>
  <si>
    <t>deduct MFD 
(Merchant Funded Discount)</t>
  </si>
  <si>
    <t>deduct GF Commission
(including tax)</t>
  </si>
  <si>
    <t>net GF Dine Out Deals
payment received</t>
  </si>
  <si>
    <t>from statement</t>
  </si>
  <si>
    <t>visa</t>
  </si>
  <si>
    <t>master</t>
  </si>
  <si>
    <t>mydebit</t>
  </si>
  <si>
    <t>unionpay</t>
  </si>
  <si>
    <t>Amex</t>
  </si>
  <si>
    <t>Total</t>
  </si>
  <si>
    <t>pay date</t>
  </si>
  <si>
    <t>Customer pay
amount</t>
  </si>
  <si>
    <t>bank actual 
received</t>
  </si>
  <si>
    <t>Amex charge</t>
  </si>
  <si>
    <t>13/9</t>
  </si>
  <si>
    <t>27/9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</si>
</sst>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9">
    <font>
      <sz val="11"/>
      <color theme="1"/>
      <name val="宋体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sz val="9"/>
      <color theme="1"/>
      <name val="Tahoma"/>
      <charset val="134"/>
    </font>
    <font>
      <b/>
      <sz val="14"/>
      <color theme="1"/>
      <name val="Tahoma"/>
      <charset val="134"/>
    </font>
    <font>
      <b/>
      <sz val="9"/>
      <color theme="1"/>
      <name val="Tahoma"/>
      <charset val="134"/>
    </font>
    <font>
      <i/>
      <sz val="9"/>
      <color rgb="FFFF0000"/>
      <name val="Tahoma"/>
      <charset val="134"/>
    </font>
    <font>
      <sz val="9"/>
      <color theme="1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2" fontId="1" fillId="0" borderId="0" xfId="0" applyNumberFormat="1" applyFont="1"/>
    <xf numFmtId="2" fontId="2" fillId="3" borderId="0" xfId="0" applyNumberFormat="1" applyFont="1" applyFill="1"/>
    <xf numFmtId="2" fontId="2" fillId="4" borderId="0" xfId="0" applyNumberFormat="1" applyFont="1" applyFill="1"/>
    <xf numFmtId="0" fontId="3" fillId="0" borderId="1" xfId="0" applyNumberFormat="1" applyFont="1" applyBorder="1"/>
    <xf numFmtId="0" fontId="3" fillId="0" borderId="0" xfId="0" applyNumberFormat="1" applyFont="1" applyBorder="1"/>
    <xf numFmtId="0" fontId="4" fillId="0" borderId="2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wrapText="1"/>
    </xf>
    <xf numFmtId="49" fontId="3" fillId="0" borderId="1" xfId="0" applyNumberFormat="1" applyFont="1" applyFill="1" applyBorder="1"/>
    <xf numFmtId="0" fontId="3" fillId="0" borderId="1" xfId="0" applyNumberFormat="1" applyFont="1" applyFill="1" applyBorder="1"/>
    <xf numFmtId="0" fontId="3" fillId="5" borderId="0" xfId="0" applyNumberFormat="1" applyFont="1" applyFill="1"/>
    <xf numFmtId="0" fontId="5" fillId="5" borderId="1" xfId="0" applyNumberFormat="1" applyFont="1" applyFill="1" applyBorder="1" applyAlignment="1">
      <alignment wrapText="1"/>
    </xf>
    <xf numFmtId="2" fontId="5" fillId="5" borderId="1" xfId="0" applyNumberFormat="1" applyFont="1" applyFill="1" applyBorder="1"/>
    <xf numFmtId="2" fontId="5" fillId="0" borderId="1" xfId="0" applyNumberFormat="1" applyFont="1" applyFill="1" applyBorder="1"/>
    <xf numFmtId="0" fontId="3" fillId="0" borderId="0" xfId="0" applyNumberFormat="1" applyFont="1"/>
    <xf numFmtId="2" fontId="3" fillId="0" borderId="1" xfId="0" applyNumberFormat="1" applyFont="1" applyBorder="1" applyAlignment="1">
      <alignment wrapText="1"/>
    </xf>
    <xf numFmtId="2" fontId="3" fillId="0" borderId="1" xfId="0" applyNumberFormat="1" applyFont="1" applyBorder="1"/>
    <xf numFmtId="2" fontId="3" fillId="0" borderId="1" xfId="0" applyNumberFormat="1" applyFont="1" applyFill="1" applyBorder="1"/>
    <xf numFmtId="2" fontId="3" fillId="5" borderId="0" xfId="0" applyNumberFormat="1" applyFont="1" applyFill="1"/>
    <xf numFmtId="2" fontId="1" fillId="6" borderId="0" xfId="0" applyNumberFormat="1" applyFont="1" applyFill="1"/>
    <xf numFmtId="176" fontId="3" fillId="7" borderId="1" xfId="0" applyNumberFormat="1" applyFont="1" applyFill="1" applyBorder="1"/>
    <xf numFmtId="2" fontId="6" fillId="0" borderId="0" xfId="0" applyNumberFormat="1" applyFont="1" applyFill="1"/>
    <xf numFmtId="2" fontId="3" fillId="7" borderId="0" xfId="0" applyNumberFormat="1" applyFont="1" applyFill="1"/>
    <xf numFmtId="0" fontId="7" fillId="0" borderId="0" xfId="0" applyNumberFormat="1" applyFont="1"/>
    <xf numFmtId="2" fontId="0" fillId="4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6"/>
  <sheetViews>
    <sheetView tabSelected="1" workbookViewId="0">
      <pane xSplit="3" ySplit="7" topLeftCell="D8" activePane="bottomRight" state="frozen"/>
      <selection/>
      <selection pane="topRight"/>
      <selection pane="bottomLeft"/>
      <selection pane="bottomRight" activeCell="J11" sqref="J11"/>
    </sheetView>
  </sheetViews>
  <sheetFormatPr defaultColWidth="9" defaultRowHeight="16.8"/>
  <cols>
    <col min="1" max="4" width="9" style="1" customWidth="1"/>
    <col min="5" max="5" width="9.55769230769231" style="1" customWidth="1"/>
    <col min="6" max="11" width="9" style="1" customWidth="1"/>
    <col min="12" max="12" width="9.55769230769231" style="1" customWidth="1"/>
    <col min="13" max="13" width="9" style="1" customWidth="1"/>
    <col min="14" max="14" width="10.4423076923077" style="1" customWidth="1"/>
    <col min="15" max="15" width="17.4423076923077" style="1" customWidth="1"/>
    <col min="16" max="16" width="9.44230769230769" style="1" customWidth="1"/>
    <col min="17" max="18" width="9" style="1" customWidth="1"/>
    <col min="19" max="19" width="15.8846153846154" style="1" customWidth="1"/>
    <col min="20" max="20" width="11.7788461538462" style="1" customWidth="1"/>
    <col min="21" max="21" width="9.55769230769231" style="1" customWidth="1"/>
    <col min="22" max="22" width="9.5576923076923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21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  <c r="T7" s="2" t="s">
        <v>24</v>
      </c>
      <c r="U7" s="2" t="s">
        <v>25</v>
      </c>
    </row>
    <row r="8" spans="1:21">
      <c r="A8" s="1" t="s">
        <v>26</v>
      </c>
      <c r="B8" s="1" t="s">
        <v>27</v>
      </c>
      <c r="C8" s="1">
        <v>33</v>
      </c>
      <c r="D8" s="1">
        <v>87</v>
      </c>
      <c r="E8" s="4">
        <v>7323.36</v>
      </c>
      <c r="F8" s="4">
        <v>-487.79</v>
      </c>
      <c r="G8" s="4">
        <v>410.59</v>
      </c>
      <c r="H8" s="4">
        <v>500.89</v>
      </c>
      <c r="I8" s="4">
        <v>0</v>
      </c>
      <c r="J8" s="4">
        <v>0</v>
      </c>
      <c r="K8" s="4">
        <v>0.25</v>
      </c>
      <c r="L8" s="4">
        <v>7747.3</v>
      </c>
      <c r="M8" s="4">
        <v>0</v>
      </c>
      <c r="N8" s="4">
        <v>4666.9</v>
      </c>
      <c r="O8" s="4">
        <v>644.9</v>
      </c>
      <c r="P8" s="4">
        <v>0</v>
      </c>
      <c r="Q8" s="4">
        <v>631.9</v>
      </c>
      <c r="R8" s="4">
        <v>0</v>
      </c>
      <c r="S8" s="4">
        <v>0</v>
      </c>
      <c r="T8" s="4">
        <v>278</v>
      </c>
      <c r="U8" s="4">
        <v>1525.6</v>
      </c>
    </row>
    <row r="9" spans="1:21">
      <c r="A9" s="1" t="s">
        <v>28</v>
      </c>
      <c r="B9" s="1" t="s">
        <v>27</v>
      </c>
      <c r="C9" s="1">
        <v>19</v>
      </c>
      <c r="D9" s="1">
        <v>54</v>
      </c>
      <c r="E9" s="4">
        <v>3550.16</v>
      </c>
      <c r="F9" s="4">
        <v>-269.22</v>
      </c>
      <c r="G9" s="4">
        <v>197.3</v>
      </c>
      <c r="H9" s="4">
        <v>306.32</v>
      </c>
      <c r="I9" s="4">
        <v>0</v>
      </c>
      <c r="J9" s="4">
        <v>0</v>
      </c>
      <c r="K9" s="4">
        <v>0.14</v>
      </c>
      <c r="L9" s="4">
        <v>3784.7</v>
      </c>
      <c r="M9" s="4">
        <v>0</v>
      </c>
      <c r="N9" s="4">
        <v>217.9</v>
      </c>
      <c r="O9" s="4">
        <v>398.3</v>
      </c>
      <c r="P9" s="4">
        <v>0</v>
      </c>
      <c r="Q9" s="4">
        <v>1716.8</v>
      </c>
      <c r="R9" s="4">
        <v>561.6</v>
      </c>
      <c r="S9" s="4">
        <v>0</v>
      </c>
      <c r="T9" s="4">
        <v>597.8</v>
      </c>
      <c r="U9" s="4">
        <v>292.3</v>
      </c>
    </row>
    <row r="10" spans="1:21">
      <c r="A10" s="1" t="s">
        <v>29</v>
      </c>
      <c r="B10" s="1" t="s">
        <v>27</v>
      </c>
      <c r="C10" s="1">
        <v>20</v>
      </c>
      <c r="D10" s="1">
        <v>105</v>
      </c>
      <c r="E10" s="4">
        <v>6519.46</v>
      </c>
      <c r="F10" s="4">
        <v>-846.6</v>
      </c>
      <c r="G10" s="4">
        <v>341.7</v>
      </c>
      <c r="H10" s="4">
        <v>564.28</v>
      </c>
      <c r="I10" s="4">
        <v>0</v>
      </c>
      <c r="J10" s="4">
        <v>0</v>
      </c>
      <c r="K10" s="4">
        <v>0.16</v>
      </c>
      <c r="L10" s="4">
        <v>6579</v>
      </c>
      <c r="M10" s="4">
        <v>0</v>
      </c>
      <c r="N10" s="4">
        <v>260.1</v>
      </c>
      <c r="O10" s="4">
        <v>0</v>
      </c>
      <c r="P10" s="4">
        <v>0</v>
      </c>
      <c r="Q10" s="4">
        <v>1177.1</v>
      </c>
      <c r="R10" s="4">
        <v>778</v>
      </c>
      <c r="S10" s="4">
        <v>0</v>
      </c>
      <c r="T10" s="4">
        <v>1048.8</v>
      </c>
      <c r="U10" s="4">
        <v>3315</v>
      </c>
    </row>
    <row r="11" spans="1:21">
      <c r="A11" s="1" t="s">
        <v>30</v>
      </c>
      <c r="B11" s="1" t="s">
        <v>27</v>
      </c>
      <c r="C11" s="1">
        <v>21</v>
      </c>
      <c r="D11" s="1">
        <v>64</v>
      </c>
      <c r="E11" s="4">
        <v>7738.4</v>
      </c>
      <c r="F11" s="4">
        <v>-1118.26</v>
      </c>
      <c r="G11" s="4">
        <v>398.97</v>
      </c>
      <c r="H11" s="4">
        <v>657.81</v>
      </c>
      <c r="I11" s="4">
        <v>0</v>
      </c>
      <c r="J11" s="4">
        <v>0</v>
      </c>
      <c r="K11" s="4">
        <v>0.48</v>
      </c>
      <c r="L11" s="4">
        <v>7677.4</v>
      </c>
      <c r="M11" s="4">
        <v>0</v>
      </c>
      <c r="N11" s="4">
        <v>317.9</v>
      </c>
      <c r="O11" s="4">
        <v>346.3</v>
      </c>
      <c r="P11" s="4">
        <v>0</v>
      </c>
      <c r="Q11" s="4">
        <v>2627.7</v>
      </c>
      <c r="R11" s="4">
        <v>0</v>
      </c>
      <c r="S11" s="4">
        <v>0</v>
      </c>
      <c r="T11" s="4">
        <v>575</v>
      </c>
      <c r="U11" s="4">
        <v>3810.5</v>
      </c>
    </row>
    <row r="12" spans="1:21">
      <c r="A12" s="1" t="s">
        <v>31</v>
      </c>
      <c r="B12" s="1" t="s">
        <v>27</v>
      </c>
      <c r="C12" s="1">
        <v>61</v>
      </c>
      <c r="D12" s="1">
        <v>212</v>
      </c>
      <c r="E12" s="4">
        <v>16028.26</v>
      </c>
      <c r="F12" s="4">
        <v>-1502.08</v>
      </c>
      <c r="G12" s="4">
        <v>872.46</v>
      </c>
      <c r="H12" s="4">
        <v>1254.77</v>
      </c>
      <c r="I12" s="4">
        <v>0</v>
      </c>
      <c r="J12" s="4">
        <v>0</v>
      </c>
      <c r="K12" s="4">
        <v>0.69</v>
      </c>
      <c r="L12" s="4">
        <v>16654.1</v>
      </c>
      <c r="M12" s="4">
        <v>0</v>
      </c>
      <c r="N12" s="4">
        <v>1363.7</v>
      </c>
      <c r="O12" s="4">
        <v>1191.3</v>
      </c>
      <c r="P12" s="4">
        <v>0</v>
      </c>
      <c r="Q12" s="4">
        <v>3536.9</v>
      </c>
      <c r="R12" s="4">
        <v>507.9</v>
      </c>
      <c r="S12" s="4">
        <v>0</v>
      </c>
      <c r="T12" s="4">
        <v>1488.9</v>
      </c>
      <c r="U12" s="4">
        <v>8565.4</v>
      </c>
    </row>
    <row r="13" spans="1:21">
      <c r="A13" s="1" t="s">
        <v>32</v>
      </c>
      <c r="B13" s="1" t="s">
        <v>27</v>
      </c>
      <c r="C13" s="1">
        <v>65</v>
      </c>
      <c r="D13" s="1">
        <v>241</v>
      </c>
      <c r="E13" s="4">
        <v>20695.2</v>
      </c>
      <c r="F13" s="4">
        <v>-1886.2</v>
      </c>
      <c r="G13" s="4">
        <v>1130.74</v>
      </c>
      <c r="H13" s="4">
        <v>1677.79</v>
      </c>
      <c r="I13" s="4">
        <v>0</v>
      </c>
      <c r="J13" s="4">
        <v>0</v>
      </c>
      <c r="K13" s="4">
        <v>0.67</v>
      </c>
      <c r="L13" s="4">
        <v>21618.2</v>
      </c>
      <c r="M13" s="4">
        <v>0</v>
      </c>
      <c r="N13" s="4">
        <v>4217.7</v>
      </c>
      <c r="O13" s="4">
        <v>0</v>
      </c>
      <c r="P13" s="4">
        <v>0</v>
      </c>
      <c r="Q13" s="4">
        <v>4325.1</v>
      </c>
      <c r="R13" s="4">
        <v>2126.1</v>
      </c>
      <c r="S13" s="4">
        <v>307.4</v>
      </c>
      <c r="T13" s="4">
        <v>3194.4</v>
      </c>
      <c r="U13" s="4">
        <v>7447.5</v>
      </c>
    </row>
    <row r="14" spans="1:21">
      <c r="A14" s="1" t="s">
        <v>33</v>
      </c>
      <c r="B14" s="1" t="s">
        <v>27</v>
      </c>
      <c r="C14" s="1">
        <v>50</v>
      </c>
      <c r="D14" s="1">
        <v>180</v>
      </c>
      <c r="E14" s="4">
        <v>12330.66</v>
      </c>
      <c r="F14" s="4">
        <v>-1396.69</v>
      </c>
      <c r="G14" s="4">
        <v>656.93</v>
      </c>
      <c r="H14" s="4">
        <v>1050.32</v>
      </c>
      <c r="I14" s="4">
        <v>0</v>
      </c>
      <c r="J14" s="4">
        <v>0</v>
      </c>
      <c r="K14" s="4">
        <v>-0.32</v>
      </c>
      <c r="L14" s="4">
        <v>12640.9</v>
      </c>
      <c r="M14" s="4">
        <v>0</v>
      </c>
      <c r="N14" s="4">
        <v>1211.1</v>
      </c>
      <c r="O14" s="4">
        <v>1048.9</v>
      </c>
      <c r="P14" s="4">
        <v>152.3</v>
      </c>
      <c r="Q14" s="4">
        <v>2360.3</v>
      </c>
      <c r="R14" s="4">
        <v>571.9</v>
      </c>
      <c r="S14" s="4">
        <v>0</v>
      </c>
      <c r="T14" s="4">
        <v>1662.1</v>
      </c>
      <c r="U14" s="4">
        <v>5634.3</v>
      </c>
    </row>
    <row r="15" spans="1:21">
      <c r="A15" s="1" t="s">
        <v>34</v>
      </c>
      <c r="B15" s="1" t="s">
        <v>27</v>
      </c>
      <c r="C15" s="1">
        <v>27</v>
      </c>
      <c r="D15" s="1">
        <v>86</v>
      </c>
      <c r="E15" s="4">
        <v>5679.16</v>
      </c>
      <c r="F15" s="4">
        <v>-374.66</v>
      </c>
      <c r="G15" s="4">
        <v>318.71</v>
      </c>
      <c r="H15" s="4">
        <v>459.15</v>
      </c>
      <c r="I15" s="4">
        <v>0</v>
      </c>
      <c r="J15" s="4">
        <v>0</v>
      </c>
      <c r="K15" s="4">
        <v>0.14</v>
      </c>
      <c r="L15" s="4">
        <v>6082.5</v>
      </c>
      <c r="M15" s="4">
        <v>0</v>
      </c>
      <c r="N15" s="4">
        <v>795.9</v>
      </c>
      <c r="O15" s="4">
        <v>0</v>
      </c>
      <c r="P15" s="4">
        <v>0</v>
      </c>
      <c r="Q15" s="4">
        <v>642.9</v>
      </c>
      <c r="R15" s="4">
        <v>1165.8</v>
      </c>
      <c r="S15" s="4">
        <v>0</v>
      </c>
      <c r="T15" s="4">
        <v>1450.3</v>
      </c>
      <c r="U15" s="4">
        <v>2027.6</v>
      </c>
    </row>
    <row r="16" spans="1:21">
      <c r="A16" s="1" t="s">
        <v>35</v>
      </c>
      <c r="B16" s="1" t="s">
        <v>27</v>
      </c>
      <c r="C16" s="1">
        <v>24</v>
      </c>
      <c r="D16" s="1">
        <v>54</v>
      </c>
      <c r="E16" s="4">
        <v>4998.8</v>
      </c>
      <c r="F16" s="4">
        <v>-439.42</v>
      </c>
      <c r="G16" s="4">
        <v>273.58</v>
      </c>
      <c r="H16" s="4">
        <v>277.35</v>
      </c>
      <c r="I16" s="4">
        <v>0</v>
      </c>
      <c r="J16" s="4">
        <v>0</v>
      </c>
      <c r="K16" s="4">
        <v>0.19</v>
      </c>
      <c r="L16" s="4">
        <v>5110.5</v>
      </c>
      <c r="M16" s="4">
        <v>0</v>
      </c>
      <c r="N16" s="4">
        <v>772.6</v>
      </c>
      <c r="O16" s="4">
        <v>0</v>
      </c>
      <c r="P16" s="4">
        <v>0</v>
      </c>
      <c r="Q16" s="4">
        <v>187.7</v>
      </c>
      <c r="R16" s="4">
        <v>592.6</v>
      </c>
      <c r="S16" s="4">
        <v>231.1</v>
      </c>
      <c r="T16" s="4">
        <v>638.5</v>
      </c>
      <c r="U16" s="4">
        <v>2688</v>
      </c>
    </row>
    <row r="17" spans="1:21">
      <c r="A17" s="1" t="s">
        <v>36</v>
      </c>
      <c r="B17" s="1" t="s">
        <v>27</v>
      </c>
      <c r="C17" s="1">
        <v>27</v>
      </c>
      <c r="D17" s="1">
        <v>99</v>
      </c>
      <c r="E17" s="4">
        <v>6638</v>
      </c>
      <c r="F17" s="4">
        <v>-759.82</v>
      </c>
      <c r="G17" s="4">
        <v>353.16</v>
      </c>
      <c r="H17" s="4">
        <v>535.08</v>
      </c>
      <c r="I17" s="4">
        <v>0</v>
      </c>
      <c r="J17" s="4">
        <v>0</v>
      </c>
      <c r="K17" s="4">
        <v>0.38</v>
      </c>
      <c r="L17" s="4">
        <v>6766.8</v>
      </c>
      <c r="M17" s="4">
        <v>0</v>
      </c>
      <c r="N17" s="4">
        <v>691.4</v>
      </c>
      <c r="O17" s="4">
        <v>615.3</v>
      </c>
      <c r="P17" s="4">
        <v>0</v>
      </c>
      <c r="Q17" s="4">
        <v>1021.5</v>
      </c>
      <c r="R17" s="4">
        <v>573.5</v>
      </c>
      <c r="S17" s="4">
        <v>0</v>
      </c>
      <c r="T17" s="4">
        <v>434.5</v>
      </c>
      <c r="U17" s="4">
        <v>3430.6</v>
      </c>
    </row>
    <row r="18" spans="1:21">
      <c r="A18" s="1" t="s">
        <v>37</v>
      </c>
      <c r="B18" s="1" t="s">
        <v>27</v>
      </c>
      <c r="C18" s="1">
        <v>23</v>
      </c>
      <c r="D18" s="1">
        <v>56</v>
      </c>
      <c r="E18" s="4">
        <v>5802.66</v>
      </c>
      <c r="F18" s="4">
        <v>-357.3</v>
      </c>
      <c r="G18" s="4">
        <v>326.73</v>
      </c>
      <c r="H18" s="4">
        <v>382.34</v>
      </c>
      <c r="I18" s="4">
        <v>0</v>
      </c>
      <c r="J18" s="4">
        <v>0</v>
      </c>
      <c r="K18" s="4">
        <v>0.07</v>
      </c>
      <c r="L18" s="4">
        <v>6154.5</v>
      </c>
      <c r="M18" s="4">
        <v>0</v>
      </c>
      <c r="N18" s="4">
        <v>335.4</v>
      </c>
      <c r="O18" s="4">
        <v>221.4</v>
      </c>
      <c r="P18" s="4">
        <v>0</v>
      </c>
      <c r="Q18" s="4">
        <v>782.7</v>
      </c>
      <c r="R18" s="4">
        <v>1024.4</v>
      </c>
      <c r="S18" s="4">
        <v>290.4</v>
      </c>
      <c r="T18" s="4">
        <v>1276.3</v>
      </c>
      <c r="U18" s="4">
        <v>2223.9</v>
      </c>
    </row>
    <row r="19" spans="1:21">
      <c r="A19" s="1" t="s">
        <v>38</v>
      </c>
      <c r="B19" s="1" t="s">
        <v>27</v>
      </c>
      <c r="C19" s="1">
        <v>32</v>
      </c>
      <c r="D19" s="1">
        <v>100</v>
      </c>
      <c r="E19" s="4">
        <v>6986.38</v>
      </c>
      <c r="F19" s="4">
        <v>-598.27</v>
      </c>
      <c r="G19" s="4">
        <v>385.46</v>
      </c>
      <c r="H19" s="4">
        <v>599.94</v>
      </c>
      <c r="I19" s="4">
        <v>0</v>
      </c>
      <c r="J19" s="4">
        <v>0</v>
      </c>
      <c r="K19" s="4">
        <v>0.19</v>
      </c>
      <c r="L19" s="4">
        <v>7373.7</v>
      </c>
      <c r="M19" s="4">
        <v>0</v>
      </c>
      <c r="N19" s="4">
        <v>1601.7</v>
      </c>
      <c r="O19" s="4">
        <v>0</v>
      </c>
      <c r="P19" s="4">
        <v>0</v>
      </c>
      <c r="Q19" s="4">
        <v>2476.9</v>
      </c>
      <c r="R19" s="4">
        <v>841.5</v>
      </c>
      <c r="S19" s="4">
        <v>0</v>
      </c>
      <c r="T19" s="4">
        <v>848.2</v>
      </c>
      <c r="U19" s="4">
        <v>1605.4</v>
      </c>
    </row>
    <row r="20" spans="1:21">
      <c r="A20" s="1" t="s">
        <v>39</v>
      </c>
      <c r="B20" s="1" t="s">
        <v>27</v>
      </c>
      <c r="C20" s="1">
        <v>78</v>
      </c>
      <c r="D20" s="1">
        <v>301</v>
      </c>
      <c r="E20" s="4">
        <v>24905.22</v>
      </c>
      <c r="F20" s="4">
        <v>-2489.25</v>
      </c>
      <c r="G20" s="4">
        <v>1344.97</v>
      </c>
      <c r="H20" s="4">
        <v>2092.8</v>
      </c>
      <c r="I20" s="4">
        <v>0</v>
      </c>
      <c r="J20" s="4">
        <v>0</v>
      </c>
      <c r="K20" s="4">
        <v>0.36</v>
      </c>
      <c r="L20" s="4">
        <v>25854.1</v>
      </c>
      <c r="M20" s="4">
        <v>243.8</v>
      </c>
      <c r="N20" s="4">
        <v>2656.9</v>
      </c>
      <c r="O20" s="4">
        <v>1125.9</v>
      </c>
      <c r="P20" s="4">
        <v>0</v>
      </c>
      <c r="Q20" s="4">
        <v>5665.5</v>
      </c>
      <c r="R20" s="4">
        <v>3873.8</v>
      </c>
      <c r="S20" s="4">
        <v>0</v>
      </c>
      <c r="T20" s="4">
        <v>1150.1</v>
      </c>
      <c r="U20" s="4">
        <v>11138.1</v>
      </c>
    </row>
    <row r="21" spans="1:21">
      <c r="A21" s="1" t="s">
        <v>40</v>
      </c>
      <c r="B21" s="1" t="s">
        <v>27</v>
      </c>
      <c r="C21" s="1">
        <v>41</v>
      </c>
      <c r="D21" s="1">
        <v>153</v>
      </c>
      <c r="E21" s="4">
        <v>10264.58</v>
      </c>
      <c r="F21" s="4">
        <v>-994.18</v>
      </c>
      <c r="G21" s="4">
        <v>557.55</v>
      </c>
      <c r="H21" s="4">
        <v>857.62</v>
      </c>
      <c r="I21" s="4">
        <v>0</v>
      </c>
      <c r="J21" s="4">
        <v>0</v>
      </c>
      <c r="K21" s="4">
        <v>0.03</v>
      </c>
      <c r="L21" s="4">
        <v>10685.6</v>
      </c>
      <c r="M21" s="4">
        <v>0</v>
      </c>
      <c r="N21" s="4">
        <v>973.1</v>
      </c>
      <c r="O21" s="4">
        <v>277.6</v>
      </c>
      <c r="P21" s="4">
        <v>0</v>
      </c>
      <c r="Q21" s="4">
        <v>3052.7</v>
      </c>
      <c r="R21" s="4">
        <v>1474.4</v>
      </c>
      <c r="S21" s="4">
        <v>0</v>
      </c>
      <c r="T21" s="4">
        <v>912.9</v>
      </c>
      <c r="U21" s="4">
        <v>3994.9</v>
      </c>
    </row>
    <row r="22" spans="1:21">
      <c r="A22" s="1" t="s">
        <v>41</v>
      </c>
      <c r="B22" s="1" t="s">
        <v>27</v>
      </c>
      <c r="C22" s="1">
        <v>33</v>
      </c>
      <c r="D22" s="1">
        <v>116</v>
      </c>
      <c r="E22" s="4">
        <v>8813.14</v>
      </c>
      <c r="F22" s="4">
        <v>-650.96</v>
      </c>
      <c r="G22" s="4">
        <v>490.17</v>
      </c>
      <c r="H22" s="4">
        <v>789.5</v>
      </c>
      <c r="I22" s="4">
        <v>0</v>
      </c>
      <c r="J22" s="4">
        <v>0</v>
      </c>
      <c r="K22" s="4">
        <v>0.15</v>
      </c>
      <c r="L22" s="4">
        <v>9442</v>
      </c>
      <c r="M22" s="4">
        <v>0</v>
      </c>
      <c r="N22" s="4">
        <v>1901.3</v>
      </c>
      <c r="O22" s="4">
        <v>600.8</v>
      </c>
      <c r="P22" s="4">
        <v>0</v>
      </c>
      <c r="Q22" s="4">
        <v>1687.7</v>
      </c>
      <c r="R22" s="4">
        <v>781.1</v>
      </c>
      <c r="S22" s="4">
        <v>0</v>
      </c>
      <c r="T22" s="4">
        <v>1327.1</v>
      </c>
      <c r="U22" s="4">
        <v>3144</v>
      </c>
    </row>
    <row r="23" spans="1:21">
      <c r="A23" s="1" t="s">
        <v>42</v>
      </c>
      <c r="B23" s="1" t="s">
        <v>27</v>
      </c>
      <c r="C23" s="1">
        <v>23</v>
      </c>
      <c r="D23" s="1">
        <v>89</v>
      </c>
      <c r="E23" s="4">
        <v>5282.76</v>
      </c>
      <c r="F23" s="4">
        <v>-491.93</v>
      </c>
      <c r="G23" s="4">
        <v>287.9</v>
      </c>
      <c r="H23" s="4">
        <v>404.14</v>
      </c>
      <c r="I23" s="4">
        <v>0</v>
      </c>
      <c r="J23" s="4">
        <v>0</v>
      </c>
      <c r="K23" s="4">
        <v>0.23</v>
      </c>
      <c r="L23" s="4">
        <v>5483.1</v>
      </c>
      <c r="M23" s="4">
        <v>0</v>
      </c>
      <c r="N23" s="4">
        <v>1258.1</v>
      </c>
      <c r="O23" s="4">
        <v>0</v>
      </c>
      <c r="P23" s="4">
        <v>0</v>
      </c>
      <c r="Q23" s="4">
        <v>1295.2</v>
      </c>
      <c r="R23" s="4">
        <v>741.1</v>
      </c>
      <c r="S23" s="4">
        <v>0</v>
      </c>
      <c r="T23" s="4">
        <v>360.7</v>
      </c>
      <c r="U23" s="4">
        <v>1828</v>
      </c>
    </row>
    <row r="24" spans="1:21">
      <c r="A24" s="1" t="s">
        <v>43</v>
      </c>
      <c r="B24" s="1" t="s">
        <v>27</v>
      </c>
      <c r="C24" s="1">
        <v>18</v>
      </c>
      <c r="D24" s="1">
        <v>59</v>
      </c>
      <c r="E24" s="4">
        <v>4828.4</v>
      </c>
      <c r="F24" s="4">
        <v>-624.98</v>
      </c>
      <c r="G24" s="4">
        <v>252.2</v>
      </c>
      <c r="H24" s="4">
        <v>325.3</v>
      </c>
      <c r="I24" s="4">
        <v>0</v>
      </c>
      <c r="J24" s="4">
        <v>0</v>
      </c>
      <c r="K24" s="4">
        <v>0.18</v>
      </c>
      <c r="L24" s="4">
        <v>4781.1</v>
      </c>
      <c r="M24" s="4">
        <v>0</v>
      </c>
      <c r="N24" s="4">
        <v>227.4</v>
      </c>
      <c r="O24" s="4">
        <v>45.7</v>
      </c>
      <c r="P24" s="4">
        <v>0</v>
      </c>
      <c r="Q24" s="4">
        <v>1095.5</v>
      </c>
      <c r="R24" s="4">
        <v>1091.6</v>
      </c>
      <c r="S24" s="4">
        <v>0</v>
      </c>
      <c r="T24" s="4">
        <v>738.8</v>
      </c>
      <c r="U24" s="4">
        <v>1582.1</v>
      </c>
    </row>
    <row r="25" spans="1:21">
      <c r="A25" s="1" t="s">
        <v>44</v>
      </c>
      <c r="B25" s="1" t="s">
        <v>27</v>
      </c>
      <c r="C25" s="1">
        <v>22</v>
      </c>
      <c r="D25" s="1">
        <v>75</v>
      </c>
      <c r="E25" s="4">
        <v>6663.6</v>
      </c>
      <c r="F25" s="4">
        <v>-681.26</v>
      </c>
      <c r="G25" s="4">
        <v>358.95</v>
      </c>
      <c r="H25" s="4">
        <v>591.62</v>
      </c>
      <c r="I25" s="4">
        <v>0</v>
      </c>
      <c r="J25" s="4">
        <v>0</v>
      </c>
      <c r="K25" s="4">
        <v>0.29</v>
      </c>
      <c r="L25" s="4">
        <v>6933.2</v>
      </c>
      <c r="M25" s="4">
        <v>0</v>
      </c>
      <c r="N25" s="4">
        <v>1021.6</v>
      </c>
      <c r="O25" s="4">
        <v>445.9</v>
      </c>
      <c r="P25" s="4">
        <v>0</v>
      </c>
      <c r="Q25" s="4">
        <v>2298.9</v>
      </c>
      <c r="R25" s="4">
        <v>2028.9</v>
      </c>
      <c r="S25" s="4">
        <v>0</v>
      </c>
      <c r="T25" s="4">
        <v>287.6</v>
      </c>
      <c r="U25" s="4">
        <v>850.3</v>
      </c>
    </row>
    <row r="26" spans="1:21">
      <c r="A26" s="1" t="s">
        <v>45</v>
      </c>
      <c r="B26" s="1" t="s">
        <v>27</v>
      </c>
      <c r="C26" s="1">
        <v>33</v>
      </c>
      <c r="D26" s="1">
        <v>105</v>
      </c>
      <c r="E26" s="4">
        <v>7892.52</v>
      </c>
      <c r="F26" s="4">
        <v>-974.95</v>
      </c>
      <c r="G26" s="4">
        <v>417.8</v>
      </c>
      <c r="H26" s="4">
        <v>636.91</v>
      </c>
      <c r="I26" s="4">
        <v>0</v>
      </c>
      <c r="J26" s="4">
        <v>0</v>
      </c>
      <c r="K26" s="4">
        <v>-0.08</v>
      </c>
      <c r="L26" s="4">
        <v>7972.2</v>
      </c>
      <c r="M26" s="4">
        <v>0</v>
      </c>
      <c r="N26" s="4">
        <v>1409.1</v>
      </c>
      <c r="O26" s="4">
        <v>600.7</v>
      </c>
      <c r="P26" s="4">
        <v>0</v>
      </c>
      <c r="Q26" s="4">
        <v>3299.9</v>
      </c>
      <c r="R26" s="4">
        <v>103.9</v>
      </c>
      <c r="S26" s="4">
        <v>0</v>
      </c>
      <c r="T26" s="4">
        <v>408.9</v>
      </c>
      <c r="U26" s="4">
        <v>2149.7</v>
      </c>
    </row>
    <row r="27" spans="1:21">
      <c r="A27" s="1" t="s">
        <v>46</v>
      </c>
      <c r="B27" s="1" t="s">
        <v>27</v>
      </c>
      <c r="C27" s="1">
        <v>56</v>
      </c>
      <c r="D27" s="1">
        <v>197</v>
      </c>
      <c r="E27" s="4">
        <v>16142.5</v>
      </c>
      <c r="F27" s="4">
        <v>-1695.19</v>
      </c>
      <c r="G27" s="4">
        <v>870.55</v>
      </c>
      <c r="H27" s="4">
        <v>1292.93</v>
      </c>
      <c r="I27" s="4">
        <v>0</v>
      </c>
      <c r="J27" s="4">
        <v>0</v>
      </c>
      <c r="K27" s="4">
        <v>0.01</v>
      </c>
      <c r="L27" s="4">
        <v>16610.8</v>
      </c>
      <c r="M27" s="4">
        <v>0</v>
      </c>
      <c r="N27" s="4">
        <v>1756.7</v>
      </c>
      <c r="O27" s="4">
        <v>1513.1</v>
      </c>
      <c r="P27" s="4">
        <v>0</v>
      </c>
      <c r="Q27" s="4">
        <v>5170</v>
      </c>
      <c r="R27" s="4">
        <v>2147.5</v>
      </c>
      <c r="S27" s="4">
        <v>0</v>
      </c>
      <c r="T27" s="4">
        <v>778.3</v>
      </c>
      <c r="U27" s="4">
        <v>5245.2</v>
      </c>
    </row>
    <row r="28" spans="1:21">
      <c r="A28" s="1" t="s">
        <v>47</v>
      </c>
      <c r="B28" s="1" t="s">
        <v>27</v>
      </c>
      <c r="C28" s="1">
        <v>35</v>
      </c>
      <c r="D28" s="1">
        <v>132</v>
      </c>
      <c r="E28" s="4">
        <v>12201.14</v>
      </c>
      <c r="F28" s="4">
        <v>-1276.7</v>
      </c>
      <c r="G28" s="4">
        <v>659.16</v>
      </c>
      <c r="H28" s="4">
        <v>1077.12</v>
      </c>
      <c r="I28" s="4">
        <v>0</v>
      </c>
      <c r="J28" s="4">
        <v>0</v>
      </c>
      <c r="K28" s="4">
        <v>0.08</v>
      </c>
      <c r="L28" s="4">
        <v>12660.8</v>
      </c>
      <c r="M28" s="4">
        <v>0</v>
      </c>
      <c r="N28" s="4">
        <v>2824.8</v>
      </c>
      <c r="O28" s="4">
        <v>1316</v>
      </c>
      <c r="P28" s="4">
        <v>0</v>
      </c>
      <c r="Q28" s="4">
        <v>1615.8</v>
      </c>
      <c r="R28" s="4">
        <v>1746</v>
      </c>
      <c r="S28" s="4">
        <v>0</v>
      </c>
      <c r="T28" s="4">
        <v>279.5</v>
      </c>
      <c r="U28" s="4">
        <v>4878.7</v>
      </c>
    </row>
    <row r="29" spans="1:21">
      <c r="A29" s="1" t="s">
        <v>48</v>
      </c>
      <c r="B29" s="1" t="s">
        <v>27</v>
      </c>
      <c r="C29" s="1">
        <v>20</v>
      </c>
      <c r="D29" s="1">
        <v>56</v>
      </c>
      <c r="E29" s="4">
        <v>5146.3</v>
      </c>
      <c r="F29" s="4">
        <v>-483.44</v>
      </c>
      <c r="G29" s="4">
        <v>279.76</v>
      </c>
      <c r="H29" s="4">
        <v>430.79</v>
      </c>
      <c r="I29" s="4">
        <v>0</v>
      </c>
      <c r="J29" s="4">
        <v>0</v>
      </c>
      <c r="K29" s="4">
        <v>0.09</v>
      </c>
      <c r="L29" s="4">
        <v>5373.5</v>
      </c>
      <c r="M29" s="4">
        <v>0</v>
      </c>
      <c r="N29" s="4">
        <v>1607.1</v>
      </c>
      <c r="O29" s="4">
        <v>672</v>
      </c>
      <c r="P29" s="4">
        <v>0</v>
      </c>
      <c r="Q29" s="4">
        <v>406.2</v>
      </c>
      <c r="R29" s="4">
        <v>839.7</v>
      </c>
      <c r="S29" s="4">
        <v>0</v>
      </c>
      <c r="T29" s="4">
        <v>341</v>
      </c>
      <c r="U29" s="4">
        <v>1507.5</v>
      </c>
    </row>
    <row r="30" spans="1:21">
      <c r="A30" s="1" t="s">
        <v>49</v>
      </c>
      <c r="B30" s="1" t="s">
        <v>27</v>
      </c>
      <c r="C30" s="1">
        <v>17</v>
      </c>
      <c r="D30" s="1">
        <v>46</v>
      </c>
      <c r="E30" s="4">
        <v>3695.6</v>
      </c>
      <c r="F30" s="4">
        <v>-344.82</v>
      </c>
      <c r="G30" s="4">
        <v>201.51</v>
      </c>
      <c r="H30" s="4">
        <v>302.97</v>
      </c>
      <c r="I30" s="4">
        <v>0</v>
      </c>
      <c r="J30" s="4">
        <v>0</v>
      </c>
      <c r="K30" s="4">
        <v>0.14</v>
      </c>
      <c r="L30" s="4">
        <v>3855.4</v>
      </c>
      <c r="M30" s="4">
        <v>0</v>
      </c>
      <c r="N30" s="4">
        <v>1078.5</v>
      </c>
      <c r="O30" s="4">
        <v>328.3</v>
      </c>
      <c r="P30" s="4">
        <v>0</v>
      </c>
      <c r="Q30" s="4">
        <v>671.5</v>
      </c>
      <c r="R30" s="4">
        <v>0</v>
      </c>
      <c r="S30" s="4">
        <v>0</v>
      </c>
      <c r="T30" s="4">
        <v>413.8</v>
      </c>
      <c r="U30" s="4">
        <v>1363.3</v>
      </c>
    </row>
    <row r="31" spans="1:21">
      <c r="A31" s="1" t="s">
        <v>50</v>
      </c>
      <c r="B31" s="1" t="s">
        <v>27</v>
      </c>
      <c r="C31" s="1">
        <v>18</v>
      </c>
      <c r="D31" s="1">
        <v>40</v>
      </c>
      <c r="E31" s="4">
        <v>3281.6</v>
      </c>
      <c r="F31" s="4">
        <v>-261.94</v>
      </c>
      <c r="G31" s="4">
        <v>181.19</v>
      </c>
      <c r="H31" s="4">
        <v>240.54</v>
      </c>
      <c r="I31" s="4">
        <v>0</v>
      </c>
      <c r="J31" s="4">
        <v>0</v>
      </c>
      <c r="K31" s="4">
        <v>0.11</v>
      </c>
      <c r="L31" s="4">
        <v>3441.5</v>
      </c>
      <c r="M31" s="4">
        <v>0</v>
      </c>
      <c r="N31" s="4">
        <v>442.1</v>
      </c>
      <c r="O31" s="4">
        <v>328.2</v>
      </c>
      <c r="P31" s="4">
        <v>0</v>
      </c>
      <c r="Q31" s="4">
        <v>505.3</v>
      </c>
      <c r="R31" s="4">
        <v>457.1</v>
      </c>
      <c r="S31" s="4">
        <v>0</v>
      </c>
      <c r="T31" s="4">
        <v>643.6</v>
      </c>
      <c r="U31" s="4">
        <v>1065.2</v>
      </c>
    </row>
    <row r="32" spans="1:21">
      <c r="A32" s="1" t="s">
        <v>51</v>
      </c>
      <c r="B32" s="1" t="s">
        <v>27</v>
      </c>
      <c r="C32" s="1">
        <v>24</v>
      </c>
      <c r="D32" s="1">
        <v>48</v>
      </c>
      <c r="E32" s="4">
        <v>4615</v>
      </c>
      <c r="F32" s="4">
        <v>-468.95</v>
      </c>
      <c r="G32" s="4">
        <v>249.67</v>
      </c>
      <c r="H32" s="4">
        <v>375.73</v>
      </c>
      <c r="I32" s="4">
        <v>0</v>
      </c>
      <c r="J32" s="4">
        <v>0</v>
      </c>
      <c r="K32" s="4">
        <v>0.15</v>
      </c>
      <c r="L32" s="4">
        <v>4771.6</v>
      </c>
      <c r="M32" s="4">
        <v>0</v>
      </c>
      <c r="N32" s="4">
        <v>976.6</v>
      </c>
      <c r="O32" s="4">
        <v>0</v>
      </c>
      <c r="P32" s="4">
        <v>0</v>
      </c>
      <c r="Q32" s="4">
        <v>491.6</v>
      </c>
      <c r="R32" s="4">
        <v>1295.5</v>
      </c>
      <c r="S32" s="4">
        <v>0</v>
      </c>
      <c r="T32" s="4">
        <v>174.5</v>
      </c>
      <c r="U32" s="4">
        <v>1833.4</v>
      </c>
    </row>
    <row r="33" spans="1:21">
      <c r="A33" s="1" t="s">
        <v>52</v>
      </c>
      <c r="B33" s="1" t="s">
        <v>27</v>
      </c>
      <c r="C33" s="1">
        <v>36</v>
      </c>
      <c r="D33" s="1">
        <v>153</v>
      </c>
      <c r="E33" s="4">
        <v>11488.3</v>
      </c>
      <c r="F33" s="4">
        <v>-1469.44</v>
      </c>
      <c r="G33" s="4">
        <v>604.78</v>
      </c>
      <c r="H33" s="4">
        <v>946.43</v>
      </c>
      <c r="I33" s="4">
        <v>0</v>
      </c>
      <c r="J33" s="4">
        <v>0</v>
      </c>
      <c r="K33" s="4">
        <v>0.13</v>
      </c>
      <c r="L33" s="4">
        <v>11570.2</v>
      </c>
      <c r="M33" s="4">
        <v>0</v>
      </c>
      <c r="N33" s="4">
        <v>1297.2</v>
      </c>
      <c r="O33" s="4">
        <v>568.9</v>
      </c>
      <c r="P33" s="4">
        <v>0</v>
      </c>
      <c r="Q33" s="4">
        <v>2627.5</v>
      </c>
      <c r="R33" s="4">
        <v>524.1</v>
      </c>
      <c r="S33" s="4">
        <v>0</v>
      </c>
      <c r="T33" s="4">
        <v>420.3</v>
      </c>
      <c r="U33" s="4">
        <v>6132.2</v>
      </c>
    </row>
    <row r="34" spans="1:21">
      <c r="A34" s="1" t="s">
        <v>53</v>
      </c>
      <c r="B34" s="1" t="s">
        <v>27</v>
      </c>
      <c r="C34" s="1">
        <v>50</v>
      </c>
      <c r="D34" s="1">
        <v>197</v>
      </c>
      <c r="E34" s="4">
        <v>17081.3</v>
      </c>
      <c r="F34" s="4">
        <v>-2354.66</v>
      </c>
      <c r="G34" s="4">
        <v>884.07</v>
      </c>
      <c r="H34" s="4">
        <v>1428.99</v>
      </c>
      <c r="I34" s="4">
        <v>0</v>
      </c>
      <c r="J34" s="4">
        <v>0</v>
      </c>
      <c r="K34" s="4">
        <v>0.3</v>
      </c>
      <c r="L34" s="4">
        <v>17040</v>
      </c>
      <c r="M34" s="4">
        <v>255.2</v>
      </c>
      <c r="N34" s="4">
        <v>1035.4</v>
      </c>
      <c r="O34" s="4">
        <v>730</v>
      </c>
      <c r="P34" s="4">
        <v>0</v>
      </c>
      <c r="Q34" s="4">
        <v>4843.5</v>
      </c>
      <c r="R34" s="4">
        <v>4307.4</v>
      </c>
      <c r="S34" s="4">
        <v>0</v>
      </c>
      <c r="T34" s="4">
        <v>279.1</v>
      </c>
      <c r="U34" s="4">
        <v>5589.4</v>
      </c>
    </row>
    <row r="35" spans="1:21">
      <c r="A35" s="1" t="s">
        <v>54</v>
      </c>
      <c r="B35" s="1" t="s">
        <v>27</v>
      </c>
      <c r="C35" s="1">
        <v>36</v>
      </c>
      <c r="D35" s="1">
        <v>154</v>
      </c>
      <c r="E35" s="4">
        <v>10950.7</v>
      </c>
      <c r="F35" s="4">
        <v>-1238.66</v>
      </c>
      <c r="G35" s="4">
        <v>587.31</v>
      </c>
      <c r="H35" s="4">
        <v>939.46</v>
      </c>
      <c r="I35" s="4">
        <v>0</v>
      </c>
      <c r="J35" s="4">
        <v>0</v>
      </c>
      <c r="K35" s="4">
        <v>0.19</v>
      </c>
      <c r="L35" s="4">
        <v>11239</v>
      </c>
      <c r="M35" s="4">
        <v>0</v>
      </c>
      <c r="N35" s="4">
        <v>446.4</v>
      </c>
      <c r="O35" s="4">
        <v>310.9</v>
      </c>
      <c r="P35" s="4">
        <v>0</v>
      </c>
      <c r="Q35" s="4">
        <v>3829.7</v>
      </c>
      <c r="R35" s="4">
        <v>1309.7</v>
      </c>
      <c r="S35" s="4">
        <v>0</v>
      </c>
      <c r="T35" s="4">
        <v>549.6</v>
      </c>
      <c r="U35" s="4">
        <v>4792.7</v>
      </c>
    </row>
    <row r="36" spans="1:21">
      <c r="A36" s="1" t="s">
        <v>55</v>
      </c>
      <c r="B36" s="1" t="s">
        <v>27</v>
      </c>
      <c r="C36" s="1">
        <v>21</v>
      </c>
      <c r="D36" s="1">
        <v>67</v>
      </c>
      <c r="E36" s="4">
        <v>5156.1</v>
      </c>
      <c r="F36" s="4">
        <v>-496.38</v>
      </c>
      <c r="G36" s="4">
        <v>280.06</v>
      </c>
      <c r="H36" s="4">
        <v>350.49</v>
      </c>
      <c r="I36" s="4">
        <v>0</v>
      </c>
      <c r="J36" s="4">
        <v>0</v>
      </c>
      <c r="K36" s="4">
        <v>0.33</v>
      </c>
      <c r="L36" s="4">
        <v>5290.6</v>
      </c>
      <c r="M36" s="4">
        <v>0</v>
      </c>
      <c r="N36" s="4">
        <v>596.7</v>
      </c>
      <c r="O36" s="4">
        <v>536.3</v>
      </c>
      <c r="P36" s="4">
        <v>0</v>
      </c>
      <c r="Q36" s="4">
        <v>571.3</v>
      </c>
      <c r="R36" s="4">
        <v>1266.5</v>
      </c>
      <c r="S36" s="4">
        <v>557.2</v>
      </c>
      <c r="T36" s="4">
        <v>679</v>
      </c>
      <c r="U36" s="4">
        <v>1083.6</v>
      </c>
    </row>
    <row r="37" spans="1:21">
      <c r="A37" s="1" t="s">
        <v>56</v>
      </c>
      <c r="B37" s="1" t="s">
        <v>27</v>
      </c>
      <c r="C37" s="1">
        <v>19</v>
      </c>
      <c r="D37" s="1">
        <v>67</v>
      </c>
      <c r="E37" s="4">
        <v>3088.12</v>
      </c>
      <c r="F37" s="4">
        <v>-167.18</v>
      </c>
      <c r="G37" s="4">
        <v>175.26</v>
      </c>
      <c r="H37" s="4">
        <v>281.69</v>
      </c>
      <c r="I37" s="4">
        <v>0</v>
      </c>
      <c r="J37" s="4">
        <v>0</v>
      </c>
      <c r="K37" s="4">
        <v>0.11</v>
      </c>
      <c r="L37" s="4">
        <v>3378</v>
      </c>
      <c r="M37" s="4">
        <v>0</v>
      </c>
      <c r="N37" s="4">
        <v>760.8</v>
      </c>
      <c r="O37" s="4">
        <v>0</v>
      </c>
      <c r="P37" s="4">
        <v>0</v>
      </c>
      <c r="Q37" s="4">
        <v>568.2</v>
      </c>
      <c r="R37" s="22">
        <v>517.5</v>
      </c>
      <c r="S37" s="4">
        <v>0</v>
      </c>
      <c r="T37" s="4">
        <v>622.6</v>
      </c>
      <c r="U37" s="4">
        <v>908.9</v>
      </c>
    </row>
    <row r="38" spans="1:22">
      <c r="A38" s="3" t="s">
        <v>57</v>
      </c>
      <c r="B38" s="3" t="s">
        <v>57</v>
      </c>
      <c r="C38" s="3">
        <f t="shared" ref="C38:U38" si="0">SUM(C8:C37)</f>
        <v>982</v>
      </c>
      <c r="D38" s="3">
        <f t="shared" si="0"/>
        <v>3393</v>
      </c>
      <c r="E38" s="5">
        <f t="shared" si="0"/>
        <v>265787.38</v>
      </c>
      <c r="F38" s="5">
        <f t="shared" si="0"/>
        <v>-27201.18</v>
      </c>
      <c r="G38" s="5">
        <f t="shared" si="0"/>
        <v>14349.19</v>
      </c>
      <c r="H38" s="5">
        <f t="shared" si="0"/>
        <v>21631.07</v>
      </c>
      <c r="I38" s="5">
        <f t="shared" si="0"/>
        <v>0</v>
      </c>
      <c r="J38" s="5">
        <f t="shared" si="0"/>
        <v>0</v>
      </c>
      <c r="K38" s="5">
        <f t="shared" si="0"/>
        <v>5.84</v>
      </c>
      <c r="L38" s="6">
        <f t="shared" si="0"/>
        <v>274572.3</v>
      </c>
      <c r="M38" s="5">
        <f t="shared" si="0"/>
        <v>499</v>
      </c>
      <c r="N38" s="5">
        <f t="shared" si="0"/>
        <v>38722.1</v>
      </c>
      <c r="O38" s="5">
        <f t="shared" si="0"/>
        <v>13866.7</v>
      </c>
      <c r="P38" s="5">
        <f t="shared" si="0"/>
        <v>152.3</v>
      </c>
      <c r="Q38" s="5">
        <f t="shared" si="0"/>
        <v>61183.5</v>
      </c>
      <c r="R38" s="5">
        <f t="shared" si="0"/>
        <v>33249.1</v>
      </c>
      <c r="S38" s="5">
        <f t="shared" si="0"/>
        <v>1386.1</v>
      </c>
      <c r="T38" s="5">
        <f t="shared" si="0"/>
        <v>23860.2</v>
      </c>
      <c r="U38" s="5">
        <f t="shared" si="0"/>
        <v>101653.3</v>
      </c>
      <c r="V38" s="27">
        <f>SUM(M38:U38)</f>
        <v>274572.3</v>
      </c>
    </row>
    <row r="39" ht="55" spans="14:15">
      <c r="N39" s="10" t="s">
        <v>58</v>
      </c>
      <c r="O39" s="7">
        <v>1730.39</v>
      </c>
    </row>
    <row r="40" ht="55" spans="14:15">
      <c r="N40" s="10" t="s">
        <v>59</v>
      </c>
      <c r="O40" s="7">
        <v>458.72</v>
      </c>
    </row>
    <row r="41" ht="68" spans="14:15">
      <c r="N41" s="14" t="s">
        <v>60</v>
      </c>
      <c r="O41" s="15">
        <f>O38-O39-O40</f>
        <v>11677.59</v>
      </c>
    </row>
    <row r="43" spans="12:19">
      <c r="L43" s="7"/>
      <c r="M43" s="16"/>
      <c r="N43" s="16"/>
      <c r="O43" s="16"/>
      <c r="P43" s="16"/>
      <c r="Q43" s="16"/>
      <c r="R43" s="23">
        <v>195568.4</v>
      </c>
      <c r="S43" s="24"/>
    </row>
    <row r="44" spans="12:19">
      <c r="L44" s="7" t="s">
        <v>61</v>
      </c>
      <c r="M44" s="7" t="s">
        <v>62</v>
      </c>
      <c r="N44" s="7" t="s">
        <v>63</v>
      </c>
      <c r="O44" s="7" t="s">
        <v>64</v>
      </c>
      <c r="P44" s="7" t="s">
        <v>65</v>
      </c>
      <c r="Q44" s="7" t="s">
        <v>66</v>
      </c>
      <c r="R44" s="7" t="s">
        <v>67</v>
      </c>
      <c r="S44" s="25">
        <f>Q38+R38+U38</f>
        <v>196085.9</v>
      </c>
    </row>
    <row r="45" spans="12:19">
      <c r="L45" s="8"/>
      <c r="M45" s="8"/>
      <c r="N45" s="8"/>
      <c r="O45" s="8"/>
      <c r="P45" s="8"/>
      <c r="Q45" s="8"/>
      <c r="R45" s="8"/>
      <c r="S45" s="17"/>
    </row>
    <row r="46" ht="20.4" spans="12:19">
      <c r="L46" s="9" t="s">
        <v>17</v>
      </c>
      <c r="M46" s="9"/>
      <c r="N46" s="9"/>
      <c r="O46" s="9"/>
      <c r="P46" s="17"/>
      <c r="Q46" s="26"/>
      <c r="R46" s="26"/>
      <c r="S46" s="26"/>
    </row>
    <row r="47" ht="41" spans="12:19">
      <c r="L47" s="10" t="s">
        <v>68</v>
      </c>
      <c r="M47" s="18" t="s">
        <v>69</v>
      </c>
      <c r="N47" s="10" t="s">
        <v>70</v>
      </c>
      <c r="O47" s="7" t="s">
        <v>71</v>
      </c>
      <c r="P47" s="17"/>
      <c r="Q47" s="26"/>
      <c r="R47" s="26"/>
      <c r="S47" s="26"/>
    </row>
    <row r="48" spans="12:19">
      <c r="L48" s="11" t="s">
        <v>72</v>
      </c>
      <c r="M48" s="12">
        <v>243.8</v>
      </c>
      <c r="N48" s="12">
        <v>240.63</v>
      </c>
      <c r="O48" s="19">
        <f>M48-N48</f>
        <v>3.17000000000002</v>
      </c>
      <c r="P48" s="17"/>
      <c r="Q48" s="26"/>
      <c r="R48" s="26"/>
      <c r="S48" s="26"/>
    </row>
    <row r="49" spans="12:19">
      <c r="L49" s="11" t="s">
        <v>73</v>
      </c>
      <c r="M49" s="20">
        <v>255.2</v>
      </c>
      <c r="N49" s="12">
        <v>239.05</v>
      </c>
      <c r="O49" s="19">
        <f>M49-N49</f>
        <v>16.15</v>
      </c>
      <c r="P49" s="17"/>
      <c r="Q49" s="26"/>
      <c r="R49" s="26"/>
      <c r="S49" s="26"/>
    </row>
    <row r="50" spans="12:19">
      <c r="L50" s="11"/>
      <c r="M50" s="12"/>
      <c r="N50" s="12"/>
      <c r="O50" s="19">
        <f t="shared" ref="O50:O55" si="1">M50-N50</f>
        <v>0</v>
      </c>
      <c r="P50" s="17"/>
      <c r="Q50" s="26"/>
      <c r="R50" s="26"/>
      <c r="S50" s="26"/>
    </row>
    <row r="51" spans="12:19">
      <c r="L51" s="11"/>
      <c r="M51" s="12"/>
      <c r="N51" s="12"/>
      <c r="O51" s="19">
        <f t="shared" si="1"/>
        <v>0</v>
      </c>
      <c r="P51" s="17"/>
      <c r="Q51" s="26"/>
      <c r="R51" s="26"/>
      <c r="S51" s="26"/>
    </row>
    <row r="52" spans="12:19">
      <c r="L52" s="12"/>
      <c r="M52" s="12"/>
      <c r="N52" s="12"/>
      <c r="O52" s="19">
        <f t="shared" si="1"/>
        <v>0</v>
      </c>
      <c r="P52" s="17"/>
      <c r="Q52" s="26"/>
      <c r="R52" s="26"/>
      <c r="S52" s="26"/>
    </row>
    <row r="53" spans="12:19">
      <c r="L53" s="12"/>
      <c r="M53" s="12"/>
      <c r="N53" s="12"/>
      <c r="O53" s="19">
        <f t="shared" si="1"/>
        <v>0</v>
      </c>
      <c r="P53" s="17"/>
      <c r="Q53" s="26"/>
      <c r="R53" s="26"/>
      <c r="S53" s="26"/>
    </row>
    <row r="54" spans="12:19">
      <c r="L54" s="12"/>
      <c r="M54" s="12"/>
      <c r="N54" s="12"/>
      <c r="O54" s="19">
        <f t="shared" si="1"/>
        <v>0</v>
      </c>
      <c r="P54" s="17"/>
      <c r="Q54" s="26"/>
      <c r="R54" s="26"/>
      <c r="S54" s="26"/>
    </row>
    <row r="55" spans="12:19">
      <c r="L55" s="12"/>
      <c r="M55" s="12"/>
      <c r="N55" s="12"/>
      <c r="O55" s="19">
        <f t="shared" si="1"/>
        <v>0</v>
      </c>
      <c r="P55" s="17"/>
      <c r="Q55" s="26"/>
      <c r="R55" s="26"/>
      <c r="S55" s="26"/>
    </row>
    <row r="56" spans="12:19">
      <c r="L56" s="13" t="s">
        <v>67</v>
      </c>
      <c r="M56" s="21">
        <f>SUM(M48:M55)</f>
        <v>499</v>
      </c>
      <c r="N56" s="21">
        <f>SUM(N48:N55)</f>
        <v>479.68</v>
      </c>
      <c r="O56" s="21">
        <f>SUM(O48:O55)</f>
        <v>19.32</v>
      </c>
      <c r="P56" s="17"/>
      <c r="Q56" s="26"/>
      <c r="R56" s="26"/>
      <c r="S56" s="26"/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jarvischu</cp:lastModifiedBy>
  <dcterms:created xsi:type="dcterms:W3CDTF">2025-10-01T12:27:00Z</dcterms:created>
  <dcterms:modified xsi:type="dcterms:W3CDTF">2026-05-08T11:39:20Z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1004A301FD00DED6E85AFD6998E70124_42</vt:lpwstr>
  </property>
  <property fmtid="{D5CDD505-2E9C-101B-9397-08002B2CF9AE}" pid="3" name="KSOProductBuildVer">
    <vt:lpwstr>2052-6.7.1.8828</vt:lpwstr>
  </property>
</Properties>
</file>